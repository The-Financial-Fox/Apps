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defaultThemeVersion="202300"/>
  <mc:AlternateContent xmlns:mc="http://schemas.openxmlformats.org/markup-compatibility/2006">
    <mc:Choice Requires="x15">
      <x15ac:absPath xmlns:x15ac="http://schemas.microsoft.com/office/spreadsheetml/2010/11/ac" url="C:\Users\chris\Downloads\"/>
    </mc:Choice>
  </mc:AlternateContent>
  <xr:revisionPtr revIDLastSave="0" documentId="13_ncr:1_{8C674A62-222E-4D76-90C7-5AC5B8F2A72D}" xr6:coauthVersionLast="47" xr6:coauthVersionMax="47" xr10:uidLastSave="{00000000-0000-0000-0000-000000000000}"/>
  <bookViews>
    <workbookView xWindow="-23148" yWindow="-84" windowWidth="23256" windowHeight="12456" activeTab="4" xr2:uid="{FB8ED459-7AAC-49E4-B6E3-9843705E2B9D}"/>
  </bookViews>
  <sheets>
    <sheet name="Home" sheetId="1" r:id="rId1"/>
    <sheet name="Guide" sheetId="3" r:id="rId2"/>
    <sheet name="Budget Estimator" sheetId="5" r:id="rId3"/>
    <sheet name="Adoption Plan" sheetId="6" r:id="rId4"/>
    <sheet name="Examples" sheetId="2" r:id="rId5"/>
    <sheet name="Bonus Links"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41" i="5" l="1"/>
  <c r="D42" i="5" s="1"/>
  <c r="D43" i="5" s="1"/>
  <c r="G26" i="5"/>
  <c r="G25" i="5"/>
  <c r="G24" i="5"/>
  <c r="G23" i="5"/>
</calcChain>
</file>

<file path=xl/sharedStrings.xml><?xml version="1.0" encoding="utf-8"?>
<sst xmlns="http://schemas.openxmlformats.org/spreadsheetml/2006/main" count="198" uniqueCount="168">
  <si>
    <t>by Christian Martinez</t>
  </si>
  <si>
    <t>Copilot Cowork: Guide for Finance and FP&amp;A</t>
  </si>
  <si>
    <t>Click Show More at the bottom right in Cowork and then a panel will appear</t>
  </si>
  <si>
    <t>You can click on each one of the tasks and then the prompt will be visible</t>
  </si>
  <si>
    <t>What makes Copilot Cowork different</t>
  </si>
  <si>
    <t>Copilot Cowork executes complex, long-running, multi-tool tasks. You define the work and Cowork runs it end-to-end and returns a completed result, not just a draft or a recommendation. Cowork is designed to be more accurate, more secure, and lower cost than other offerings. Five things make that true: </t>
  </si>
  <si>
    <t>1. Cloud hosting means files are not stored locally, security is strongly enforced, and your tasks keep running even when your laptop is off.</t>
  </si>
  <si>
    <t>2. Native Work IQ support grounds every task in the systems your business already runs on, so the work reflects real context.</t>
  </si>
  <si>
    <t>3. Enterprise-grade security and compliance ensure Cowork operates within your Microsoft 365 trust boundary, with protections that align to your organization’s existing policies and controls.</t>
  </si>
  <si>
    <t>4. Multi-model design lets you run the models a task needs, so capability scales with the work as more models become available.  </t>
  </si>
  <si>
    <t>5. Lower cost from a runtime that efficiently finds the right information and tools, model choice that matches the right model to each task, and billing that charges you only for what you use.  </t>
  </si>
  <si>
    <t>Pricing model</t>
  </si>
  <si>
    <t>Copilot Cowork requires the Microsoft 365 Copilot User Subscription License (USL). Users are then billed for Cowork on a usage-based basis, with charges determined by the tasks they run. </t>
  </si>
  <si>
    <t>The Microsoft 365 Copilot USL includes a complete AI productivity experience: Copilot Chat; Copilot in Word, Excel, PowerPoint, Outlook, and Teams, the Work IQ context engine; a multi-model system offering frontier intelligence; pre-built agents like Researcher and Analyst; and custom agents built with Agent Builder. All of that for a predictable per user per month fee. </t>
  </si>
  <si>
    <t>Copilot Cowork adds a whole new way of working: an agentic system designed for complex, long-running, multi-tool tasks. You are billed on a usage basis, denominated in Copilot Credits, and the price for each task is calculated from four inputs: model use, context retrieval, tool calls, and runtime. </t>
  </si>
  <si>
    <t>Light tasks use a small number of knowledge sources, apply limited reasoning, and produce one or fewer outputs. Medium tasks draw on multiple sources, apply structured reasoning, and generate two or more outputs. Heavy tasks aggregate broadly, apply deep reasoning, and produce many outputs.</t>
  </si>
  <si>
    <t>When you combine users by persona with their mix of light, medium, and heavy tasks—and apply a price per prompt—you get a flexible cost model that can help you create a cost estimate you can refine over time. At its core, the model multiplies the number of users in each segment by their expected prompt volume across light, medium, and heavy tasks, applies the cost per prompt type, and sums the total. </t>
  </si>
  <si>
    <t>Use the Budget Estimator (Created by Microsoft) on the tab to the right</t>
  </si>
  <si>
    <t>Welcome!</t>
  </si>
  <si>
    <r>
      <t xml:space="preserve">Use this spreadsheet to explore how your organization might use Copilot Credits when using Cowork. By following the step-by-step process and entering your expected usage, you can model different scenarios and get a directional view of potential costs. This model is provided for illustrative purposes only to demonstrate an approach, and organizations should build and validate their own models based on their specific needs. Start at the top, follow each step in order, and adjust assumptions as needed to reflect your organization’s needs. </t>
    </r>
    <r>
      <rPr>
        <b/>
        <sz val="11"/>
        <color theme="1"/>
        <rFont val="Aptos Narrow"/>
        <family val="2"/>
        <scheme val="minor"/>
      </rPr>
      <t>These estimates assume Anthropic Opus 4.8.</t>
    </r>
  </si>
  <si>
    <t>Step 1:</t>
  </si>
  <si>
    <t>Who will use Cowork?</t>
  </si>
  <si>
    <t>Number of users</t>
  </si>
  <si>
    <t>Corporate Knowledge Workers</t>
  </si>
  <si>
    <t>Customer-Facing Knowledge Workers</t>
  </si>
  <si>
    <t>Technical Workers</t>
  </si>
  <si>
    <t>Managers &amp; Senior Leaders</t>
  </si>
  <si>
    <t>Step 2:</t>
  </si>
  <si>
    <t>How many light, medium, and heavy prompts will each user execute per month?</t>
  </si>
  <si>
    <t>The default numbers are based on Microsoft Frontier customer usage as of 5/27/2026. Please update to suit your organization.</t>
  </si>
  <si>
    <t>Light</t>
  </si>
  <si>
    <t>Medium</t>
  </si>
  <si>
    <t>Heavy</t>
  </si>
  <si>
    <t>Monthly Copilot Credit spend per user</t>
  </si>
  <si>
    <t>Narrow context, lightweight model, 0–1 tool calls, minimal runtime — 0–1 deliverables.</t>
  </si>
  <si>
    <t>Richer context, capable model, several tool calls, moderate runtime — 2+ outputs.</t>
  </si>
  <si>
    <t>Broad context aggregation, high-quality model, many tool calls, sustained runtime — many outputs.</t>
  </si>
  <si>
    <t>Managers and Senior Leaders</t>
  </si>
  <si>
    <t xml:space="preserve">Step 3: </t>
  </si>
  <si>
    <t>How many Copilot Credits are consumed per prompt?</t>
  </si>
  <si>
    <r>
      <t>Copilot Credits used per prompt</t>
    </r>
    <r>
      <rPr>
        <b/>
        <vertAlign val="superscript"/>
        <sz val="11"/>
        <color theme="0"/>
        <rFont val="Aptos Narrow"/>
        <family val="2"/>
        <scheme val="minor"/>
      </rPr>
      <t>1</t>
    </r>
    <r>
      <rPr>
        <b/>
        <sz val="11"/>
        <color theme="0"/>
        <rFont val="Aptos Narrow"/>
        <family val="2"/>
        <scheme val="minor"/>
      </rPr>
      <t xml:space="preserve"> </t>
    </r>
  </si>
  <si>
    <t>Step 4:</t>
  </si>
  <si>
    <t>Summary</t>
  </si>
  <si>
    <r>
      <t>Est. monthly Copilot Credits</t>
    </r>
    <r>
      <rPr>
        <b/>
        <vertAlign val="superscript"/>
        <sz val="11"/>
        <color theme="1"/>
        <rFont val="Aptos Narrow"/>
        <family val="2"/>
        <scheme val="minor"/>
      </rPr>
      <t>2</t>
    </r>
  </si>
  <si>
    <t>Est. monthly Cowork budget (List Pricing)</t>
  </si>
  <si>
    <t>Average price per user per month</t>
  </si>
  <si>
    <r>
      <rPr>
        <vertAlign val="superscript"/>
        <sz val="9"/>
        <color theme="1"/>
        <rFont val="Aptos Narrow"/>
        <family val="2"/>
        <scheme val="minor"/>
      </rPr>
      <t>1</t>
    </r>
    <r>
      <rPr>
        <sz val="9"/>
        <color theme="1"/>
        <rFont val="Aptos Narrow"/>
        <family val="2"/>
        <scheme val="minor"/>
      </rPr>
      <t>Disclaimer: The information presented herein is derived from aggregated and anonymized data collected from customers who participated in the Cowork Frontier program. This data is intended for illustrative and informational purposes only and may not reflect the experience or results of all customers. It should not be relied upon as definitive, complete, or predictive of future outcomes.</t>
    </r>
  </si>
  <si>
    <r>
      <rPr>
        <vertAlign val="superscript"/>
        <sz val="9"/>
        <color theme="1"/>
        <rFont val="Aptos Narrow"/>
        <family val="2"/>
        <scheme val="minor"/>
      </rPr>
      <t>2</t>
    </r>
    <r>
      <rPr>
        <sz val="9"/>
        <color theme="1"/>
        <rFont val="Aptos Narrow"/>
        <family val="2"/>
        <scheme val="minor"/>
      </rPr>
      <t>Disclaimer: This spreadsheet is designed to help inform budgeting considerations for potential Cowork purchases. The data represents generalized estimates and may vary based on individual customer scenarios. Microsoft does not guarantee the accuracy of this information and disclaims any warranties or assurances related to expected results or outcomes.</t>
    </r>
  </si>
  <si>
    <t>At general availability, Copilot Cowork runs on Anthropic models, including Opus 4.8 and Sonnet 4.6. In Frontier, customers can use GPT 5.5, with Cowork 1 coming soon.</t>
  </si>
  <si>
    <t>Cowork 1 will deliver optimal cost, quality, and enterprise-grade use, including removing model bias. It’s designed to handle everyday Copilot tasks at a substantially lower cost, making it a strong option for cost-sensitive workloads.  </t>
  </si>
  <si>
    <t>Choose the right tool: Chat, Cowork, or agents</t>
  </si>
  <si>
    <t>The simplest rule of thumb: use Chat when you want an answer. Use Cowork when you want something done.</t>
  </si>
  <si>
    <t>Chat, Cowork, and agents, e.g., in Agent Builder, each serves a different purpose. Use the table below as a quick reference for those conversations.</t>
  </si>
  <si>
    <t>Effective prompting with Cowork</t>
  </si>
  <si>
    <t>Most finance professionals will get poor results from AI coworkers for the same reason they get poor outputs from analysts:</t>
  </si>
  <si>
    <t>The request is too vague.</t>
  </si>
  <si>
    <t>"Analyze our forecast."</t>
  </si>
  <si>
    <t>"Review our results."</t>
  </si>
  <si>
    <t>"Prepare for the board meeting."</t>
  </si>
  <si>
    <t>These aren't instructions.</t>
  </si>
  <si>
    <t>They're objectives.</t>
  </si>
  <si>
    <t>Copilot Cowork works best when you define five things:</t>
  </si>
  <si>
    <t>1. Outcome</t>
  </si>
  <si>
    <t>What does success look like?</t>
  </si>
  <si>
    <t>Example:</t>
  </si>
  <si>
    <t>Create an executive-ready variance analysis package for the CFO explaining revenue, gross margin, and operating expense performance versus budget.</t>
  </si>
  <si>
    <t>2. Inputs</t>
  </si>
  <si>
    <t>What data should be used?</t>
  </si>
  <si>
    <t>Use:</t>
  </si>
  <si>
    <t>• Actuals from May FY26</t>
  </si>
  <si>
    <t>• Budget FY26 Version 3</t>
  </si>
  <si>
    <t>• Forecast FY26 Version 7</t>
  </si>
  <si>
    <t>• Monthly business review decks</t>
  </si>
  <si>
    <t>• ERP and planning system exports</t>
  </si>
  <si>
    <t>• Leadership meeting notes from the last 30 days</t>
  </si>
  <si>
    <t>3. Definition of Done</t>
  </si>
  <si>
    <t>What should Cowork deliver?</t>
  </si>
  <si>
    <t>Create:</t>
  </si>
  <si>
    <t>• A PowerPoint presentation</t>
  </si>
  <si>
    <t>• Executive commentary for each major variance</t>
  </si>
  <si>
    <t>• A one-page CFO summary</t>
  </si>
  <si>
    <t>• A list of recommended actions for underperforming business units</t>
  </si>
  <si>
    <t>Save all outputs to the Finance Leadership folder in OneDrive.</t>
  </si>
  <si>
    <t>4. Constraints</t>
  </si>
  <si>
    <t>What rules must be followed?</t>
  </si>
  <si>
    <t>• Use the standard Board Reporting template</t>
  </si>
  <si>
    <t>• Keep commentary under 100 words per section</t>
  </si>
  <si>
    <t>• Highlight only variances above €100k or 5%</t>
  </si>
  <si>
    <t>• Use FY26 reporting terminology</t>
  </si>
  <si>
    <t>• Do not modify source files</t>
  </si>
  <si>
    <t>5. Approval Scope</t>
  </si>
  <si>
    <t>What actions require review?</t>
  </si>
  <si>
    <t>Draft reports automatically.</t>
  </si>
  <si>
    <t>Require approval before:</t>
  </si>
  <si>
    <t>• Sending emails</t>
  </si>
  <si>
    <t>• Updating forecasts</t>
  </si>
  <si>
    <t>• Sharing files with executives</t>
  </si>
  <si>
    <t>Example FP&amp;A Cowork Prompt</t>
  </si>
  <si>
    <t>Outcome:</t>
  </si>
  <si>
    <t>Create a complete monthly performance review package for the CFO.</t>
  </si>
  <si>
    <t>Inputs:</t>
  </si>
  <si>
    <t>Actuals, budget, latest forecast, business unit reports, leadership meeting notes, and prior month board deck.</t>
  </si>
  <si>
    <t>Definition of Done:</t>
  </si>
  <si>
    <t>Produce a PowerPoint deck, executive summary, variance analysis, KPI dashboard commentary, risk assessment, and recommended actions. Save everything to the CFO Reporting folder.</t>
  </si>
  <si>
    <t>Constraints:</t>
  </si>
  <si>
    <t>Use the FY26 Board Template. Focus on revenue, gross margin, EBITDA, cash flow, and headcount. Flag variances greater than 5% or €100k. Keep all executive commentary concise and board-ready.</t>
  </si>
  <si>
    <t>Approval Scope:</t>
  </si>
  <si>
    <t>Require approval before distributing reports or emailing stakeholders.</t>
  </si>
  <si>
    <t>Task ID</t>
  </si>
  <si>
    <t>Task</t>
  </si>
  <si>
    <t>Description</t>
  </si>
  <si>
    <t>Status</t>
  </si>
  <si>
    <t>Assigned To</t>
  </si>
  <si>
    <t>Due Date</t>
  </si>
  <si>
    <t>Start Date</t>
  </si>
  <si>
    <t>End Date</t>
  </si>
  <si>
    <t>Establish FP&amp;A AI Transformation Team</t>
  </si>
  <si>
    <t>Identify Finance leaders, FP&amp;A managers, Finance Systems, BI teams, IT, and executive sponsors who will govern Copilot Cowork adoption.</t>
  </si>
  <si>
    <t>Not Started</t>
  </si>
  <si>
    <t>Document Current Finance Processes</t>
  </si>
  <si>
    <t>Map monthly reporting, forecasting, budgeting, variance analysis, management reporting, and board reporting processes.</t>
  </si>
  <si>
    <t>Identify High-Value Cowork Use Cases</t>
  </si>
  <si>
    <t>Prioritize finance workflows where Cowork can deliver the greatest ROI through automation and reasoning.</t>
  </si>
  <si>
    <t>Inventory Finance Data Sources</t>
  </si>
  <si>
    <t>Identify ERP, EPM, Power BI, Excel files, SharePoint sites, Teams channels, OneDrive folders, and financial reports that Cowork will access.</t>
  </si>
  <si>
    <t>Define Governance &amp; Security Policies</t>
  </si>
  <si>
    <t>Establish permissions, approval workflows, financial data handling rules, audit requirements, and executive reporting controls.</t>
  </si>
  <si>
    <t>Create Finance Prompting Standards</t>
  </si>
  <si>
    <t>Develop standard templates using Outcome, Inputs, Definition of Done, Constraints, and Approval Scope frameworks.</t>
  </si>
  <si>
    <t>Build Monthly Reporting Cowork</t>
  </si>
  <si>
    <t>Configure and test Cowork workflows for monthly close reporting, KPI reviews, and executive summaries.</t>
  </si>
  <si>
    <t>Build Variance Analysis Cowork</t>
  </si>
  <si>
    <t>Create Cowork tasks capable of identifying drivers, generating commentary, and highlighting business risks.</t>
  </si>
  <si>
    <t>Build Forecast Review Cowork</t>
  </si>
  <si>
    <t>Configure automated forecast comparison, scenario analysis, and key assumption reviews.</t>
  </si>
  <si>
    <t>Build Executive Briefing Cowork</t>
  </si>
  <si>
    <t>Develop workflows that prepare CFO, CEO, and Board briefing packs from multiple sources.</t>
  </si>
  <si>
    <t>Build Cost Optimization Cowork</t>
  </si>
  <si>
    <t>Configure Cowork to analyze spending patterns, vendor contracts, SaaS costs, and procurement opportunities.</t>
  </si>
  <si>
    <t>Train FP&amp;A Analysts</t>
  </si>
  <si>
    <t>Educate finance teams on prompt engineering, review procedures, exception handling, and quality assurance.</t>
  </si>
  <si>
    <t>Train Finance Business Partners</t>
  </si>
  <si>
    <t>Train business-facing finance teams on using Cowork for decision support, reporting, and stakeholder management.</t>
  </si>
  <si>
    <t>Pilot with Finance Leadership Team</t>
  </si>
  <si>
    <t>Run a controlled pilot with FP&amp;A leaders and selected finance managers.</t>
  </si>
  <si>
    <t>Measure Time Savings &amp; ROI</t>
  </si>
  <si>
    <t>Establish baseline effort and compare productivity improvements across key finance processes.</t>
  </si>
  <si>
    <t>Implement Executive Approval Workflow</t>
  </si>
  <si>
    <t>Ensure all externally distributed reports, forecasts, and executive communications follow governance processes.</t>
  </si>
  <si>
    <t>Launch Finance Community of Practice</t>
  </si>
  <si>
    <t>Create a knowledge-sharing forum for finance professionals to exchange Cowork prompts and best practices.</t>
  </si>
  <si>
    <t>Build CFO Command Center Use Cases</t>
  </si>
  <si>
    <t>Develop advanced Cowork workflows supporting board reporting, strategic planning, and performance management.</t>
  </si>
  <si>
    <t>Scale Across Finance Functions</t>
  </si>
  <si>
    <t>Extend adoption to Controlling, Commercial Finance, Treasury, Procurement, Accounting, and Investor Relations teams.</t>
  </si>
  <si>
    <t>Continuous Optimization Program</t>
  </si>
  <si>
    <t>Review usage patterns, improve prompts, add new workflows, and expand Cowork capabilities quarterly.</t>
  </si>
  <si>
    <t>Keep Learning AI for Finance and FP&amp;A</t>
  </si>
  <si>
    <t>Free Resources</t>
  </si>
  <si>
    <t>Paid Communities and Programs</t>
  </si>
  <si>
    <t>https://www.youtube.com/@christianmartinezAIforFinance</t>
  </si>
  <si>
    <t>https://www.linkedin.com/in/christianmartinezthefinancialfox/</t>
  </si>
  <si>
    <t>https://christianmartinezonline.kit.com/</t>
  </si>
  <si>
    <t>https://nicolasboucher.online/sp/ref-join-the-ai-finance-club/?utm_medium=aff-christianantonio-martinez-gmail-com&amp;utm_content=%2Faffiliate-dashboard%2F&amp;utm_source=nicolasboucher.online</t>
  </si>
  <si>
    <t>https://nicolasboucher.online/sp/ai-finance-accelerator/?utm_medium=aff-christianantonio-martinez-gmail-com&amp;utm_content=&amp;utm_source=</t>
  </si>
  <si>
    <t>www.amazon.co.uk/dp/1394369166</t>
  </si>
  <si>
    <t>Book</t>
  </si>
  <si>
    <t>https://buy.stripe.com/8x2aEZ6SE9U4d8P8rx6Vq00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</si>
</sst>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 #,##0_-;_-* &quot;-&quot;??_-;_-@_-"/>
    <numFmt numFmtId="166" formatCode="&quot;$&quot;#,##0_);[Red]\(&quot;$&quot;#,##0\)"/>
    <numFmt numFmtId="167" formatCode="_-* #,##0.00_-;\-* #,##0.00_-;_-* &quot;-&quot;??_-;_-@_-"/>
    <numFmt numFmtId="168" formatCode="&quot;$&quot;#,##0.00"/>
  </numFmts>
  <fonts count="29"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1"/>
      <name val="Segoe UI"/>
      <family val="2"/>
    </font>
    <font>
      <sz val="16"/>
      <color theme="1"/>
      <name val="Segoe UI"/>
      <family val="2"/>
    </font>
    <font>
      <sz val="36"/>
      <color theme="1"/>
      <name val="Segoe UI"/>
      <family val="2"/>
    </font>
    <font>
      <b/>
      <sz val="48"/>
      <color theme="1"/>
      <name val="Segoe UI"/>
      <family val="2"/>
    </font>
    <font>
      <sz val="23"/>
      <color rgb="FF17253D"/>
      <name val="Segoe UI"/>
      <family val="2"/>
    </font>
    <font>
      <sz val="12"/>
      <color rgb="FF17253D"/>
      <name val="Segoe UI"/>
      <family val="2"/>
    </font>
    <font>
      <b/>
      <sz val="12"/>
      <color theme="1"/>
      <name val="Aptos Narrow"/>
      <family val="2"/>
      <scheme val="minor"/>
    </font>
    <font>
      <sz val="12"/>
      <color theme="1"/>
      <name val="Aptos Narrow"/>
      <family val="2"/>
      <scheme val="minor"/>
    </font>
    <font>
      <i/>
      <sz val="8"/>
      <color theme="1"/>
      <name val="Aptos Narrow"/>
      <family val="2"/>
      <scheme val="minor"/>
    </font>
    <font>
      <b/>
      <sz val="11"/>
      <name val="Aptos Narrow"/>
      <family val="2"/>
      <scheme val="minor"/>
    </font>
    <font>
      <i/>
      <sz val="8"/>
      <color theme="0"/>
      <name val="Aptos Narrow"/>
      <family val="2"/>
      <scheme val="minor"/>
    </font>
    <font>
      <b/>
      <vertAlign val="superscript"/>
      <sz val="11"/>
      <color theme="0"/>
      <name val="Aptos Narrow"/>
      <family val="2"/>
      <scheme val="minor"/>
    </font>
    <font>
      <b/>
      <vertAlign val="superscript"/>
      <sz val="11"/>
      <color theme="1"/>
      <name val="Aptos Narrow"/>
      <family val="2"/>
      <scheme val="minor"/>
    </font>
    <font>
      <sz val="9"/>
      <color theme="1"/>
      <name val="Aptos Narrow"/>
      <family val="2"/>
      <scheme val="minor"/>
    </font>
    <font>
      <vertAlign val="superscript"/>
      <sz val="9"/>
      <color theme="1"/>
      <name val="Aptos Narrow"/>
      <family val="2"/>
      <scheme val="minor"/>
    </font>
    <font>
      <sz val="18"/>
      <color rgb="FF000000"/>
      <name val="Segoe UI"/>
      <family val="2"/>
    </font>
    <font>
      <sz val="10"/>
      <color rgb="FF000000"/>
      <name val="Segoe UI"/>
      <family val="2"/>
    </font>
    <font>
      <b/>
      <sz val="13.5"/>
      <color theme="1"/>
      <name val="Segoe UI"/>
      <family val="2"/>
    </font>
    <font>
      <b/>
      <sz val="11"/>
      <color theme="1"/>
      <name val="Segoe UI"/>
      <family val="2"/>
    </font>
    <font>
      <b/>
      <sz val="18"/>
      <color theme="1"/>
      <name val="Segoe UI"/>
      <family val="2"/>
    </font>
    <font>
      <b/>
      <sz val="11"/>
      <color theme="0"/>
      <name val="Segoe UI"/>
      <family val="2"/>
    </font>
    <font>
      <u/>
      <sz val="11"/>
      <color theme="10"/>
      <name val="Aptos Narrow"/>
      <family val="2"/>
      <scheme val="minor"/>
    </font>
    <font>
      <b/>
      <sz val="16"/>
      <color theme="1"/>
      <name val="Segoe UI"/>
      <family val="2"/>
    </font>
    <font>
      <u/>
      <sz val="16"/>
      <color theme="10"/>
      <name val="Segoe UI"/>
      <family val="2"/>
    </font>
    <font>
      <sz val="24"/>
      <color rgb="FF17253D"/>
      <name val="Segoe UI"/>
      <family val="2"/>
    </font>
  </fonts>
  <fills count="10">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3"/>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3" tint="9.9978637043366805E-2"/>
        <bgColor indexed="64"/>
      </patternFill>
    </fill>
  </fills>
  <borders count="7">
    <border>
      <left/>
      <right/>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0" fontId="25" fillId="0" borderId="0" applyNumberFormat="0" applyFill="0" applyBorder="0" applyAlignment="0" applyProtection="0"/>
  </cellStyleXfs>
  <cellXfs count="66">
    <xf numFmtId="0" fontId="0" fillId="0" borderId="0" xfId="0"/>
    <xf numFmtId="0" fontId="4" fillId="0" borderId="0" xfId="0" applyFont="1"/>
    <xf numFmtId="0" fontId="5" fillId="0" borderId="0" xfId="0" applyFont="1"/>
    <xf numFmtId="0" fontId="6" fillId="0" borderId="0" xfId="0" applyFont="1"/>
    <xf numFmtId="0" fontId="7" fillId="0" borderId="0" xfId="0" applyFont="1"/>
    <xf numFmtId="0" fontId="0" fillId="0" borderId="0" xfId="0" applyAlignment="1">
      <alignment vertical="center"/>
    </xf>
    <xf numFmtId="0" fontId="8" fillId="0" borderId="0" xfId="0" applyFont="1" applyAlignment="1">
      <alignment vertical="center"/>
    </xf>
    <xf numFmtId="0" fontId="9" fillId="0" borderId="0" xfId="0" applyFont="1" applyAlignment="1">
      <alignment vertical="center" wrapText="1"/>
    </xf>
    <xf numFmtId="0" fontId="9" fillId="0" borderId="0" xfId="0" applyFont="1" applyAlignment="1">
      <alignment horizontal="left" vertical="center" wrapText="1" indent="1"/>
    </xf>
    <xf numFmtId="0" fontId="9" fillId="0" borderId="0" xfId="0" applyFont="1" applyAlignment="1">
      <alignment wrapText="1"/>
    </xf>
    <xf numFmtId="0" fontId="0" fillId="0" borderId="0" xfId="0" applyAlignment="1">
      <alignment horizontal="center" vertical="center"/>
    </xf>
    <xf numFmtId="0" fontId="0" fillId="2" borderId="0" xfId="0" applyFill="1" applyAlignment="1">
      <alignment vertical="center"/>
    </xf>
    <xf numFmtId="0" fontId="0" fillId="3" borderId="0" xfId="0" applyFill="1" applyAlignment="1">
      <alignment vertical="center"/>
    </xf>
    <xf numFmtId="0" fontId="3" fillId="0" borderId="0" xfId="0" applyFont="1" applyAlignment="1">
      <alignment horizontal="center" vertical="center"/>
    </xf>
    <xf numFmtId="0" fontId="0" fillId="2" borderId="0" xfId="0" applyFill="1" applyAlignment="1">
      <alignment horizontal="center" vertical="center"/>
    </xf>
    <xf numFmtId="165" fontId="0" fillId="2" borderId="0" xfId="1" applyNumberFormat="1" applyFont="1" applyFill="1" applyBorder="1" applyAlignment="1">
      <alignment vertical="center"/>
    </xf>
    <xf numFmtId="0" fontId="10" fillId="0" borderId="0" xfId="0" applyFont="1" applyAlignment="1">
      <alignment horizontal="center" vertical="center"/>
    </xf>
    <xf numFmtId="0" fontId="10" fillId="0" borderId="0" xfId="0" applyFont="1" applyAlignment="1">
      <alignment vertical="center"/>
    </xf>
    <xf numFmtId="0" fontId="11" fillId="0" borderId="0" xfId="0" applyFont="1" applyAlignment="1">
      <alignment vertical="center"/>
    </xf>
    <xf numFmtId="0" fontId="11" fillId="0" borderId="0" xfId="0" applyFont="1" applyAlignment="1">
      <alignment horizontal="center" vertical="center"/>
    </xf>
    <xf numFmtId="0" fontId="11" fillId="2" borderId="0" xfId="0" applyFont="1" applyFill="1" applyAlignment="1">
      <alignment vertical="center"/>
    </xf>
    <xf numFmtId="0" fontId="11" fillId="3" borderId="0" xfId="0" applyFont="1" applyFill="1" applyAlignment="1">
      <alignment vertical="center"/>
    </xf>
    <xf numFmtId="0" fontId="2" fillId="4" borderId="1" xfId="0" applyFont="1" applyFill="1" applyBorder="1" applyAlignment="1">
      <alignment vertical="center"/>
    </xf>
    <xf numFmtId="0" fontId="2" fillId="5" borderId="2" xfId="0" applyFont="1" applyFill="1" applyBorder="1" applyAlignment="1">
      <alignment horizontal="center" vertical="center"/>
    </xf>
    <xf numFmtId="0" fontId="0" fillId="0" borderId="3" xfId="0" applyBorder="1" applyAlignment="1">
      <alignment vertical="center"/>
    </xf>
    <xf numFmtId="3" fontId="0" fillId="3" borderId="4" xfId="1" applyNumberFormat="1" applyFont="1" applyFill="1" applyBorder="1" applyAlignment="1" applyProtection="1">
      <alignment horizontal="center" vertical="center"/>
      <protection locked="0"/>
    </xf>
    <xf numFmtId="0" fontId="0" fillId="0" borderId="4" xfId="0" applyBorder="1" applyAlignment="1">
      <alignment vertical="center"/>
    </xf>
    <xf numFmtId="165" fontId="0" fillId="0" borderId="0" xfId="1" applyNumberFormat="1" applyFont="1" applyFill="1" applyBorder="1" applyAlignment="1">
      <alignment vertical="center"/>
    </xf>
    <xf numFmtId="0" fontId="12" fillId="0" borderId="0" xfId="0" applyFont="1" applyAlignment="1">
      <alignment vertical="top"/>
    </xf>
    <xf numFmtId="0" fontId="2" fillId="4" borderId="0" xfId="0" applyFont="1" applyFill="1" applyAlignment="1">
      <alignment vertical="center"/>
    </xf>
    <xf numFmtId="0" fontId="2" fillId="5" borderId="4" xfId="0" applyFont="1" applyFill="1" applyBorder="1" applyAlignment="1">
      <alignment horizontal="center" vertical="center"/>
    </xf>
    <xf numFmtId="0" fontId="14" fillId="5" borderId="2" xfId="0" applyFont="1" applyFill="1" applyBorder="1" applyAlignment="1">
      <alignment horizontal="center" vertical="center" wrapText="1"/>
    </xf>
    <xf numFmtId="1" fontId="0" fillId="3" borderId="4" xfId="0" applyNumberFormat="1" applyFill="1" applyBorder="1" applyAlignment="1" applyProtection="1">
      <alignment horizontal="center" vertical="center"/>
      <protection locked="0"/>
    </xf>
    <xf numFmtId="3" fontId="0" fillId="7" borderId="4" xfId="0" applyNumberFormat="1" applyFill="1" applyBorder="1" applyAlignment="1">
      <alignment horizontal="center" vertical="center"/>
    </xf>
    <xf numFmtId="0" fontId="3" fillId="2" borderId="0" xfId="0" applyFont="1" applyFill="1" applyAlignment="1">
      <alignment vertical="center"/>
    </xf>
    <xf numFmtId="0" fontId="3" fillId="0" borderId="0" xfId="0" applyFont="1" applyAlignment="1">
      <alignment vertical="center"/>
    </xf>
    <xf numFmtId="1" fontId="0" fillId="3" borderId="4" xfId="0" applyNumberFormat="1" applyFill="1" applyBorder="1" applyAlignment="1">
      <alignment horizontal="center" vertical="center"/>
    </xf>
    <xf numFmtId="0" fontId="3" fillId="0" borderId="4" xfId="0" applyFont="1" applyBorder="1" applyAlignment="1">
      <alignment vertical="center"/>
    </xf>
    <xf numFmtId="165" fontId="3" fillId="0" borderId="4" xfId="0" applyNumberFormat="1" applyFont="1" applyBorder="1" applyAlignment="1">
      <alignment vertical="center"/>
    </xf>
    <xf numFmtId="0" fontId="3" fillId="0" borderId="4" xfId="0" applyFont="1" applyBorder="1" applyAlignment="1">
      <alignment vertical="center" wrapText="1"/>
    </xf>
    <xf numFmtId="166" fontId="3" fillId="0" borderId="4" xfId="0" applyNumberFormat="1" applyFont="1" applyBorder="1" applyAlignment="1">
      <alignment vertical="center"/>
    </xf>
    <xf numFmtId="167" fontId="0" fillId="0" borderId="0" xfId="0" applyNumberFormat="1" applyAlignment="1">
      <alignment vertical="center"/>
    </xf>
    <xf numFmtId="168" fontId="3" fillId="0" borderId="4" xfId="0" applyNumberFormat="1" applyFont="1" applyBorder="1" applyAlignment="1">
      <alignment vertical="center"/>
    </xf>
    <xf numFmtId="168" fontId="3" fillId="0" borderId="0" xfId="0" applyNumberFormat="1" applyFont="1" applyAlignment="1">
      <alignment vertical="center"/>
    </xf>
    <xf numFmtId="166" fontId="0" fillId="0" borderId="0" xfId="0" applyNumberFormat="1" applyAlignment="1">
      <alignment vertical="center"/>
    </xf>
    <xf numFmtId="166" fontId="0" fillId="0" borderId="0" xfId="0" applyNumberFormat="1" applyAlignment="1">
      <alignment horizontal="center" vertical="center"/>
    </xf>
    <xf numFmtId="0" fontId="0" fillId="3" borderId="0" xfId="0" applyFill="1" applyAlignment="1">
      <alignment horizontal="center" vertical="center"/>
    </xf>
    <xf numFmtId="0" fontId="4" fillId="0" borderId="0" xfId="0" applyFont="1" applyAlignment="1">
      <alignment horizontal="left" vertical="center" wrapText="1" indent="1"/>
    </xf>
    <xf numFmtId="0" fontId="4" fillId="8" borderId="0" xfId="0" applyFont="1" applyFill="1"/>
    <xf numFmtId="0" fontId="19" fillId="0" borderId="0" xfId="0" applyFont="1" applyAlignment="1">
      <alignment horizontal="center" vertical="center" wrapText="1"/>
    </xf>
    <xf numFmtId="0" fontId="20" fillId="0" borderId="0" xfId="0" applyFont="1" applyAlignment="1">
      <alignment horizontal="left" vertical="center" wrapText="1"/>
    </xf>
    <xf numFmtId="0" fontId="21" fillId="0" borderId="0" xfId="0" applyFont="1" applyAlignment="1">
      <alignment vertical="center"/>
    </xf>
    <xf numFmtId="0" fontId="22" fillId="0" borderId="0" xfId="0" applyFont="1"/>
    <xf numFmtId="0" fontId="23" fillId="0" borderId="0" xfId="0" applyFont="1" applyAlignment="1">
      <alignment vertical="center"/>
    </xf>
    <xf numFmtId="0" fontId="24" fillId="9" borderId="4" xfId="0" applyFont="1" applyFill="1" applyBorder="1" applyAlignment="1">
      <alignment horizontal="center" vertical="center" wrapText="1"/>
    </xf>
    <xf numFmtId="0" fontId="4" fillId="0" borderId="4" xfId="0" applyFont="1" applyBorder="1" applyAlignment="1">
      <alignment horizontal="center" vertical="center" wrapText="1"/>
    </xf>
    <xf numFmtId="0" fontId="26" fillId="0" borderId="0" xfId="0" applyFont="1"/>
    <xf numFmtId="0" fontId="27" fillId="0" borderId="0" xfId="2" applyFont="1"/>
    <xf numFmtId="0" fontId="28" fillId="0" borderId="0" xfId="0" applyFont="1" applyAlignment="1">
      <alignment vertical="center"/>
    </xf>
    <xf numFmtId="0" fontId="17" fillId="0" borderId="0" xfId="0" applyFont="1" applyAlignment="1">
      <alignment horizontal="left" vertical="center" wrapText="1"/>
    </xf>
    <xf numFmtId="0" fontId="0" fillId="0" borderId="0" xfId="0" applyAlignment="1">
      <alignment horizontal="left" vertical="center" wrapText="1"/>
    </xf>
    <xf numFmtId="0" fontId="10" fillId="0" borderId="0" xfId="0" applyFont="1" applyAlignment="1">
      <alignment horizontal="left" vertical="center"/>
    </xf>
    <xf numFmtId="0" fontId="13" fillId="6" borderId="5"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2" fillId="5" borderId="2" xfId="0" applyFont="1" applyFill="1" applyBorder="1" applyAlignment="1">
      <alignment horizontal="center" vertical="center"/>
    </xf>
    <xf numFmtId="0" fontId="2" fillId="5" borderId="6" xfId="0" applyFont="1" applyFill="1" applyBorder="1" applyAlignment="1">
      <alignment horizontal="center" vertical="center"/>
    </xf>
  </cellXfs>
  <cellStyles count="3">
    <cellStyle name="Comma 2" xfId="1" xr:uid="{25B20DF3-B460-4289-8E71-CE5DE8CCD957}"/>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304801</xdr:colOff>
      <xdr:row>2</xdr:row>
      <xdr:rowOff>587827</xdr:rowOff>
    </xdr:from>
    <xdr:to>
      <xdr:col>17</xdr:col>
      <xdr:colOff>270302</xdr:colOff>
      <xdr:row>27</xdr:row>
      <xdr:rowOff>51968</xdr:rowOff>
    </xdr:to>
    <xdr:pic>
      <xdr:nvPicPr>
        <xdr:cNvPr id="5" name="Picture 4">
          <a:extLst>
            <a:ext uri="{FF2B5EF4-FFF2-40B4-BE49-F238E27FC236}">
              <a16:creationId xmlns:a16="http://schemas.microsoft.com/office/drawing/2014/main" id="{CA21AEFA-8FE8-385B-6DF0-8DAE263F3FC9}"/>
            </a:ext>
          </a:extLst>
        </xdr:cNvPr>
        <xdr:cNvPicPr>
          <a:picLocks noChangeAspect="1"/>
        </xdr:cNvPicPr>
      </xdr:nvPicPr>
      <xdr:blipFill rotWithShape="1">
        <a:blip xmlns:r="http://schemas.openxmlformats.org/officeDocument/2006/relationships" r:embed="rId1"/>
        <a:srcRect l="19853"/>
        <a:stretch>
          <a:fillRect/>
        </a:stretch>
      </xdr:blipFill>
      <xdr:spPr>
        <a:xfrm>
          <a:off x="304801" y="1665513"/>
          <a:ext cx="10263387" cy="5353312"/>
        </a:xfrm>
        <a:prstGeom prst="rect">
          <a:avLst/>
        </a:prstGeom>
      </xdr:spPr>
    </xdr:pic>
    <xdr:clientData/>
  </xdr:twoCellAnchor>
  <xdr:twoCellAnchor editAs="oneCell">
    <xdr:from>
      <xdr:col>22</xdr:col>
      <xdr:colOff>391885</xdr:colOff>
      <xdr:row>4</xdr:row>
      <xdr:rowOff>21773</xdr:rowOff>
    </xdr:from>
    <xdr:to>
      <xdr:col>33</xdr:col>
      <xdr:colOff>364292</xdr:colOff>
      <xdr:row>28</xdr:row>
      <xdr:rowOff>153010</xdr:rowOff>
    </xdr:to>
    <xdr:pic>
      <xdr:nvPicPr>
        <xdr:cNvPr id="6" name="Picture 5">
          <a:extLst>
            <a:ext uri="{FF2B5EF4-FFF2-40B4-BE49-F238E27FC236}">
              <a16:creationId xmlns:a16="http://schemas.microsoft.com/office/drawing/2014/main" id="{C937913B-7939-3E3E-5D72-65208786D482}"/>
            </a:ext>
          </a:extLst>
        </xdr:cNvPr>
        <xdr:cNvPicPr>
          <a:picLocks noChangeAspect="1"/>
        </xdr:cNvPicPr>
      </xdr:nvPicPr>
      <xdr:blipFill>
        <a:blip xmlns:r="http://schemas.openxmlformats.org/officeDocument/2006/relationships" r:embed="rId2"/>
        <a:stretch>
          <a:fillRect/>
        </a:stretch>
      </xdr:blipFill>
      <xdr:spPr>
        <a:xfrm>
          <a:off x="13737771" y="1763487"/>
          <a:ext cx="6678007" cy="5356379"/>
        </a:xfrm>
        <a:prstGeom prst="rect">
          <a:avLst/>
        </a:prstGeom>
      </xdr:spPr>
    </xdr:pic>
    <xdr:clientData/>
  </xdr:twoCellAnchor>
  <xdr:twoCellAnchor editAs="oneCell">
    <xdr:from>
      <xdr:col>17</xdr:col>
      <xdr:colOff>457200</xdr:colOff>
      <xdr:row>2</xdr:row>
      <xdr:rowOff>370114</xdr:rowOff>
    </xdr:from>
    <xdr:to>
      <xdr:col>22</xdr:col>
      <xdr:colOff>396499</xdr:colOff>
      <xdr:row>28</xdr:row>
      <xdr:rowOff>115896</xdr:rowOff>
    </xdr:to>
    <xdr:pic>
      <xdr:nvPicPr>
        <xdr:cNvPr id="7" name="Picture 6">
          <a:extLst>
            <a:ext uri="{FF2B5EF4-FFF2-40B4-BE49-F238E27FC236}">
              <a16:creationId xmlns:a16="http://schemas.microsoft.com/office/drawing/2014/main" id="{88BB844B-25D7-EBB1-279D-2D63C47C0476}"/>
            </a:ext>
          </a:extLst>
        </xdr:cNvPr>
        <xdr:cNvPicPr>
          <a:picLocks noChangeAspect="1"/>
        </xdr:cNvPicPr>
      </xdr:nvPicPr>
      <xdr:blipFill>
        <a:blip xmlns:r="http://schemas.openxmlformats.org/officeDocument/2006/relationships" r:embed="rId3"/>
        <a:stretch>
          <a:fillRect/>
        </a:stretch>
      </xdr:blipFill>
      <xdr:spPr>
        <a:xfrm>
          <a:off x="10755086" y="1447800"/>
          <a:ext cx="2987299" cy="5852667"/>
        </a:xfrm>
        <a:prstGeom prst="rect">
          <a:avLst/>
        </a:prstGeom>
      </xdr:spPr>
    </xdr:pic>
    <xdr:clientData/>
  </xdr:twoCellAnchor>
  <xdr:twoCellAnchor editAs="oneCell">
    <xdr:from>
      <xdr:col>22</xdr:col>
      <xdr:colOff>457200</xdr:colOff>
      <xdr:row>0</xdr:row>
      <xdr:rowOff>87086</xdr:rowOff>
    </xdr:from>
    <xdr:to>
      <xdr:col>27</xdr:col>
      <xdr:colOff>502063</xdr:colOff>
      <xdr:row>2</xdr:row>
      <xdr:rowOff>402772</xdr:rowOff>
    </xdr:to>
    <xdr:pic>
      <xdr:nvPicPr>
        <xdr:cNvPr id="8" name="Picture 7">
          <a:extLst>
            <a:ext uri="{FF2B5EF4-FFF2-40B4-BE49-F238E27FC236}">
              <a16:creationId xmlns:a16="http://schemas.microsoft.com/office/drawing/2014/main" id="{B7DE5040-3E5A-082D-3658-C359E5E5A89F}"/>
            </a:ext>
          </a:extLst>
        </xdr:cNvPr>
        <xdr:cNvPicPr>
          <a:picLocks noChangeAspect="1"/>
        </xdr:cNvPicPr>
      </xdr:nvPicPr>
      <xdr:blipFill>
        <a:blip xmlns:r="http://schemas.openxmlformats.org/officeDocument/2006/relationships" r:embed="rId4"/>
        <a:stretch>
          <a:fillRect/>
        </a:stretch>
      </xdr:blipFill>
      <xdr:spPr>
        <a:xfrm>
          <a:off x="13803086" y="87086"/>
          <a:ext cx="3092863" cy="13933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19</xdr:row>
      <xdr:rowOff>0</xdr:rowOff>
    </xdr:from>
    <xdr:to>
      <xdr:col>8</xdr:col>
      <xdr:colOff>304800</xdr:colOff>
      <xdr:row>20</xdr:row>
      <xdr:rowOff>89263</xdr:rowOff>
    </xdr:to>
    <xdr:sp macro="" textlink="">
      <xdr:nvSpPr>
        <xdr:cNvPr id="3073" name="AutoShape 1" descr="Diagram showing Copilot Cowork usage-based billing, where an example workflow uses AI models, organizational context, and tools during runtime, with total usage determining the number of Copilot credits consumed.">
          <a:extLst>
            <a:ext uri="{FF2B5EF4-FFF2-40B4-BE49-F238E27FC236}">
              <a16:creationId xmlns:a16="http://schemas.microsoft.com/office/drawing/2014/main" id="{2E7E0297-CB3A-D1D7-1134-9364035398FE}"/>
            </a:ext>
          </a:extLst>
        </xdr:cNvPr>
        <xdr:cNvSpPr>
          <a:spLocks noChangeAspect="1" noChangeArrowheads="1"/>
        </xdr:cNvSpPr>
      </xdr:nvSpPr>
      <xdr:spPr bwMode="auto">
        <a:xfrm>
          <a:off x="12672060" y="7178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892628</xdr:colOff>
      <xdr:row>20</xdr:row>
      <xdr:rowOff>130629</xdr:rowOff>
    </xdr:from>
    <xdr:to>
      <xdr:col>1</xdr:col>
      <xdr:colOff>7072984</xdr:colOff>
      <xdr:row>35</xdr:row>
      <xdr:rowOff>35109</xdr:rowOff>
    </xdr:to>
    <xdr:pic>
      <xdr:nvPicPr>
        <xdr:cNvPr id="2" name="Picture 1">
          <a:extLst>
            <a:ext uri="{FF2B5EF4-FFF2-40B4-BE49-F238E27FC236}">
              <a16:creationId xmlns:a16="http://schemas.microsoft.com/office/drawing/2014/main" id="{19B5C952-9BA4-F681-0A9C-590D1B94DA6D}"/>
            </a:ext>
          </a:extLst>
        </xdr:cNvPr>
        <xdr:cNvPicPr>
          <a:picLocks noChangeAspect="1"/>
        </xdr:cNvPicPr>
      </xdr:nvPicPr>
      <xdr:blipFill>
        <a:blip xmlns:r="http://schemas.openxmlformats.org/officeDocument/2006/relationships" r:embed="rId1"/>
        <a:stretch>
          <a:fillRect/>
        </a:stretch>
      </xdr:blipFill>
      <xdr:spPr>
        <a:xfrm>
          <a:off x="1055914" y="7522029"/>
          <a:ext cx="6180356" cy="3170195"/>
        </a:xfrm>
        <a:prstGeom prst="rect">
          <a:avLst/>
        </a:prstGeom>
      </xdr:spPr>
    </xdr:pic>
    <xdr:clientData/>
  </xdr:twoCellAnchor>
  <xdr:twoCellAnchor editAs="oneCell">
    <xdr:from>
      <xdr:col>1</xdr:col>
      <xdr:colOff>1110342</xdr:colOff>
      <xdr:row>42</xdr:row>
      <xdr:rowOff>43542</xdr:rowOff>
    </xdr:from>
    <xdr:to>
      <xdr:col>1</xdr:col>
      <xdr:colOff>7244974</xdr:colOff>
      <xdr:row>57</xdr:row>
      <xdr:rowOff>184263</xdr:rowOff>
    </xdr:to>
    <xdr:pic>
      <xdr:nvPicPr>
        <xdr:cNvPr id="3" name="Picture 2">
          <a:extLst>
            <a:ext uri="{FF2B5EF4-FFF2-40B4-BE49-F238E27FC236}">
              <a16:creationId xmlns:a16="http://schemas.microsoft.com/office/drawing/2014/main" id="{12280738-BA3E-01CF-6762-A841630E69C4}"/>
            </a:ext>
          </a:extLst>
        </xdr:cNvPr>
        <xdr:cNvPicPr>
          <a:picLocks noChangeAspect="1"/>
        </xdr:cNvPicPr>
      </xdr:nvPicPr>
      <xdr:blipFill>
        <a:blip xmlns:r="http://schemas.openxmlformats.org/officeDocument/2006/relationships" r:embed="rId2"/>
        <a:stretch>
          <a:fillRect/>
        </a:stretch>
      </xdr:blipFill>
      <xdr:spPr>
        <a:xfrm>
          <a:off x="1273628" y="12246428"/>
          <a:ext cx="6134632" cy="3406435"/>
        </a:xfrm>
        <a:prstGeom prst="rect">
          <a:avLst/>
        </a:prstGeom>
      </xdr:spPr>
    </xdr:pic>
    <xdr:clientData/>
  </xdr:twoCellAnchor>
  <xdr:twoCellAnchor editAs="oneCell">
    <xdr:from>
      <xdr:col>3</xdr:col>
      <xdr:colOff>54428</xdr:colOff>
      <xdr:row>63</xdr:row>
      <xdr:rowOff>490925</xdr:rowOff>
    </xdr:from>
    <xdr:to>
      <xdr:col>19</xdr:col>
      <xdr:colOff>119743</xdr:colOff>
      <xdr:row>75</xdr:row>
      <xdr:rowOff>31983</xdr:rowOff>
    </xdr:to>
    <xdr:pic>
      <xdr:nvPicPr>
        <xdr:cNvPr id="4" name="Picture 3">
          <a:extLst>
            <a:ext uri="{FF2B5EF4-FFF2-40B4-BE49-F238E27FC236}">
              <a16:creationId xmlns:a16="http://schemas.microsoft.com/office/drawing/2014/main" id="{F1B21BF0-7D18-06BC-F809-6B2AE74C93A0}"/>
            </a:ext>
          </a:extLst>
        </xdr:cNvPr>
        <xdr:cNvPicPr>
          <a:picLocks noChangeAspect="1"/>
        </xdr:cNvPicPr>
      </xdr:nvPicPr>
      <xdr:blipFill>
        <a:blip xmlns:r="http://schemas.openxmlformats.org/officeDocument/2006/relationships" r:embed="rId3"/>
        <a:stretch>
          <a:fillRect/>
        </a:stretch>
      </xdr:blipFill>
      <xdr:spPr>
        <a:xfrm>
          <a:off x="9677399" y="16580011"/>
          <a:ext cx="9818915" cy="3819144"/>
        </a:xfrm>
        <a:prstGeom prst="rect">
          <a:avLst/>
        </a:prstGeom>
      </xdr:spPr>
    </xdr:pic>
    <xdr:clientData/>
  </xdr:twoCellAnchor>
  <xdr:twoCellAnchor editAs="oneCell">
    <xdr:from>
      <xdr:col>1</xdr:col>
      <xdr:colOff>65315</xdr:colOff>
      <xdr:row>89</xdr:row>
      <xdr:rowOff>87086</xdr:rowOff>
    </xdr:from>
    <xdr:to>
      <xdr:col>3</xdr:col>
      <xdr:colOff>116214</xdr:colOff>
      <xdr:row>104</xdr:row>
      <xdr:rowOff>75393</xdr:rowOff>
    </xdr:to>
    <xdr:pic>
      <xdr:nvPicPr>
        <xdr:cNvPr id="5" name="Picture 4">
          <a:extLst>
            <a:ext uri="{FF2B5EF4-FFF2-40B4-BE49-F238E27FC236}">
              <a16:creationId xmlns:a16="http://schemas.microsoft.com/office/drawing/2014/main" id="{647E5537-D2E6-21D6-BD0E-02E1915662A6}"/>
            </a:ext>
          </a:extLst>
        </xdr:cNvPr>
        <xdr:cNvPicPr>
          <a:picLocks noChangeAspect="1"/>
        </xdr:cNvPicPr>
      </xdr:nvPicPr>
      <xdr:blipFill>
        <a:blip xmlns:r="http://schemas.openxmlformats.org/officeDocument/2006/relationships" r:embed="rId4"/>
        <a:stretch>
          <a:fillRect/>
        </a:stretch>
      </xdr:blipFill>
      <xdr:spPr>
        <a:xfrm>
          <a:off x="228601" y="22860000"/>
          <a:ext cx="9510584" cy="325402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429256</xdr:colOff>
      <xdr:row>13</xdr:row>
      <xdr:rowOff>115919</xdr:rowOff>
    </xdr:from>
    <xdr:to>
      <xdr:col>9</xdr:col>
      <xdr:colOff>264722</xdr:colOff>
      <xdr:row>40</xdr:row>
      <xdr:rowOff>128439</xdr:rowOff>
    </xdr:to>
    <xdr:pic>
      <xdr:nvPicPr>
        <xdr:cNvPr id="2" name="Picture 1">
          <a:extLst>
            <a:ext uri="{FF2B5EF4-FFF2-40B4-BE49-F238E27FC236}">
              <a16:creationId xmlns:a16="http://schemas.microsoft.com/office/drawing/2014/main" id="{AEDAF092-A3A6-A9D3-3B12-181D524D0B12}"/>
            </a:ext>
          </a:extLst>
        </xdr:cNvPr>
        <xdr:cNvPicPr>
          <a:picLocks noChangeAspect="1"/>
        </xdr:cNvPicPr>
      </xdr:nvPicPr>
      <xdr:blipFill>
        <a:blip xmlns:r="http://schemas.openxmlformats.org/officeDocument/2006/relationships" r:embed="rId1"/>
        <a:stretch>
          <a:fillRect/>
        </a:stretch>
      </xdr:blipFill>
      <xdr:spPr>
        <a:xfrm>
          <a:off x="429256" y="2493359"/>
          <a:ext cx="5321866" cy="4950280"/>
        </a:xfrm>
        <a:prstGeom prst="rect">
          <a:avLst/>
        </a:prstGeom>
      </xdr:spPr>
    </xdr:pic>
    <xdr:clientData/>
  </xdr:twoCellAnchor>
  <xdr:twoCellAnchor editAs="oneCell">
    <xdr:from>
      <xdr:col>10</xdr:col>
      <xdr:colOff>335280</xdr:colOff>
      <xdr:row>14</xdr:row>
      <xdr:rowOff>7620</xdr:rowOff>
    </xdr:from>
    <xdr:to>
      <xdr:col>17</xdr:col>
      <xdr:colOff>472822</xdr:colOff>
      <xdr:row>27</xdr:row>
      <xdr:rowOff>7826</xdr:rowOff>
    </xdr:to>
    <xdr:pic>
      <xdr:nvPicPr>
        <xdr:cNvPr id="3" name="Picture 2">
          <a:extLst>
            <a:ext uri="{FF2B5EF4-FFF2-40B4-BE49-F238E27FC236}">
              <a16:creationId xmlns:a16="http://schemas.microsoft.com/office/drawing/2014/main" id="{B06E4191-C4AB-257F-1F3A-BF46FB06CC21}"/>
            </a:ext>
          </a:extLst>
        </xdr:cNvPr>
        <xdr:cNvPicPr>
          <a:picLocks noChangeAspect="1"/>
        </xdr:cNvPicPr>
      </xdr:nvPicPr>
      <xdr:blipFill>
        <a:blip xmlns:r="http://schemas.openxmlformats.org/officeDocument/2006/relationships" r:embed="rId2"/>
        <a:stretch>
          <a:fillRect/>
        </a:stretch>
      </xdr:blipFill>
      <xdr:spPr>
        <a:xfrm>
          <a:off x="6431280" y="2567940"/>
          <a:ext cx="4404742" cy="2377646"/>
        </a:xfrm>
        <a:prstGeom prst="rect">
          <a:avLst/>
        </a:prstGeom>
      </xdr:spPr>
    </xdr:pic>
    <xdr:clientData/>
  </xdr:twoCellAnchor>
  <xdr:twoCellAnchor editAs="oneCell">
    <xdr:from>
      <xdr:col>0</xdr:col>
      <xdr:colOff>320041</xdr:colOff>
      <xdr:row>0</xdr:row>
      <xdr:rowOff>0</xdr:rowOff>
    </xdr:from>
    <xdr:to>
      <xdr:col>10</xdr:col>
      <xdr:colOff>281941</xdr:colOff>
      <xdr:row>12</xdr:row>
      <xdr:rowOff>99902</xdr:rowOff>
    </xdr:to>
    <xdr:pic>
      <xdr:nvPicPr>
        <xdr:cNvPr id="4" name="Picture 3">
          <a:extLst>
            <a:ext uri="{FF2B5EF4-FFF2-40B4-BE49-F238E27FC236}">
              <a16:creationId xmlns:a16="http://schemas.microsoft.com/office/drawing/2014/main" id="{64BE9261-1DDE-EB45-E672-EDC81E1678C0}"/>
            </a:ext>
          </a:extLst>
        </xdr:cNvPr>
        <xdr:cNvPicPr>
          <a:picLocks noChangeAspect="1"/>
        </xdr:cNvPicPr>
      </xdr:nvPicPr>
      <xdr:blipFill>
        <a:blip xmlns:r="http://schemas.openxmlformats.org/officeDocument/2006/relationships" r:embed="rId3"/>
        <a:stretch>
          <a:fillRect/>
        </a:stretch>
      </xdr:blipFill>
      <xdr:spPr>
        <a:xfrm>
          <a:off x="320041" y="0"/>
          <a:ext cx="6057900" cy="22944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hyperlink" Target="https://christianmartinezonline.kit.com/" TargetMode="External"/><Relationship Id="rId7" Type="http://schemas.openxmlformats.org/officeDocument/2006/relationships/hyperlink" Target="https://buy.stripe.com/8x2aEZ6SE9U4d8P8rx6Vq00" TargetMode="External"/><Relationship Id="rId2" Type="http://schemas.openxmlformats.org/officeDocument/2006/relationships/hyperlink" Target="https://www.linkedin.com/in/christianmartinezthefinancialfox/" TargetMode="External"/><Relationship Id="rId1" Type="http://schemas.openxmlformats.org/officeDocument/2006/relationships/hyperlink" Target="https://www.youtube.com/@christianmartinezAIforFinance" TargetMode="External"/><Relationship Id="rId6" Type="http://schemas.openxmlformats.org/officeDocument/2006/relationships/hyperlink" Target="http://www.amazon.co.uk/dp/1394369166" TargetMode="External"/><Relationship Id="rId5" Type="http://schemas.openxmlformats.org/officeDocument/2006/relationships/hyperlink" Target="https://nicolasboucher.online/sp/ref-join-the-ai-finance-club/?utm_medium=aff-christianantonio-martinez-gmail-com&amp;utm_content=%2Faffiliate-dashboard%2F&amp;utm_source=nicolasboucher.online" TargetMode="External"/><Relationship Id="rId4" Type="http://schemas.openxmlformats.org/officeDocument/2006/relationships/hyperlink" Target="https://nicolasboucher.online/sp/ai-finance-accelerator/?utm_medium=aff-christianantonio-martinez-gmail-com&amp;utm_content=&amp;utm_sour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B5F07-FE77-473C-A89F-A41F59B46943}">
  <sheetPr>
    <tabColor theme="3" tint="9.9978637043366805E-2"/>
  </sheetPr>
  <dimension ref="B2:B3"/>
  <sheetViews>
    <sheetView showGridLines="0" zoomScale="70" zoomScaleNormal="70" workbookViewId="0">
      <selection activeCell="B2" sqref="B2:B3"/>
    </sheetView>
  </sheetViews>
  <sheetFormatPr defaultRowHeight="16.8" x14ac:dyDescent="0.4"/>
  <cols>
    <col min="1" max="1" width="7.88671875" style="1" customWidth="1"/>
    <col min="2" max="16384" width="8.88671875" style="1"/>
  </cols>
  <sheetData>
    <row r="2" spans="2:2" ht="67.8" x14ac:dyDescent="1.35">
      <c r="B2" s="4" t="s">
        <v>1</v>
      </c>
    </row>
    <row r="3" spans="2:2" ht="52.2" x14ac:dyDescent="1.1000000000000001">
      <c r="B3" s="3" t="s">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23BD0-BB46-45C3-BC59-57603652AF26}">
  <sheetPr>
    <tabColor theme="3" tint="9.9978637043366805E-2"/>
  </sheetPr>
  <dimension ref="B2:B201"/>
  <sheetViews>
    <sheetView showGridLines="0" zoomScale="70" zoomScaleNormal="70" workbookViewId="0">
      <selection activeCell="B13" sqref="B13:B19"/>
    </sheetView>
  </sheetViews>
  <sheetFormatPr defaultRowHeight="16.8" x14ac:dyDescent="0.4"/>
  <cols>
    <col min="1" max="1" width="2.44140625" style="1" customWidth="1"/>
    <col min="2" max="2" width="129" style="1" customWidth="1"/>
    <col min="3" max="16384" width="8.88671875" style="1"/>
  </cols>
  <sheetData>
    <row r="2" spans="2:2" ht="33" x14ac:dyDescent="0.4">
      <c r="B2" s="6" t="s">
        <v>4</v>
      </c>
    </row>
    <row r="4" spans="2:2" ht="57.6" x14ac:dyDescent="0.4">
      <c r="B4" s="7" t="s">
        <v>5</v>
      </c>
    </row>
    <row r="5" spans="2:2" x14ac:dyDescent="0.4">
      <c r="B5" s="47"/>
    </row>
    <row r="6" spans="2:2" ht="38.4" x14ac:dyDescent="0.4">
      <c r="B6" s="8" t="s">
        <v>6</v>
      </c>
    </row>
    <row r="7" spans="2:2" ht="19.2" x14ac:dyDescent="0.4">
      <c r="B7" s="8" t="s">
        <v>7</v>
      </c>
    </row>
    <row r="8" spans="2:2" ht="38.4" x14ac:dyDescent="0.4">
      <c r="B8" s="8" t="s">
        <v>8</v>
      </c>
    </row>
    <row r="9" spans="2:2" ht="38.4" x14ac:dyDescent="0.4">
      <c r="B9" s="8" t="s">
        <v>9</v>
      </c>
    </row>
    <row r="10" spans="2:2" ht="38.4" x14ac:dyDescent="0.4">
      <c r="B10" s="8" t="s">
        <v>10</v>
      </c>
    </row>
    <row r="13" spans="2:2" ht="33" x14ac:dyDescent="0.4">
      <c r="B13" s="6" t="s">
        <v>11</v>
      </c>
    </row>
    <row r="15" spans="2:2" ht="38.4" x14ac:dyDescent="0.4">
      <c r="B15" s="7" t="s">
        <v>12</v>
      </c>
    </row>
    <row r="17" spans="2:2" ht="57.6" x14ac:dyDescent="0.4">
      <c r="B17" s="7" t="s">
        <v>13</v>
      </c>
    </row>
    <row r="19" spans="2:2" ht="57.6" x14ac:dyDescent="0.4">
      <c r="B19" s="7" t="s">
        <v>14</v>
      </c>
    </row>
    <row r="40" spans="2:2" ht="72.599999999999994" customHeight="1" x14ac:dyDescent="0.45">
      <c r="B40" s="9" t="s">
        <v>15</v>
      </c>
    </row>
    <row r="64" spans="2:2" ht="105" customHeight="1" x14ac:dyDescent="0.45">
      <c r="B64" s="9" t="s">
        <v>16</v>
      </c>
    </row>
    <row r="66" spans="2:2" x14ac:dyDescent="0.4">
      <c r="B66" s="48" t="s">
        <v>17</v>
      </c>
    </row>
    <row r="69" spans="2:2" ht="38.4" x14ac:dyDescent="0.4">
      <c r="B69" s="7" t="s">
        <v>48</v>
      </c>
    </row>
    <row r="71" spans="2:2" ht="38.4" x14ac:dyDescent="0.4">
      <c r="B71" s="7" t="s">
        <v>49</v>
      </c>
    </row>
    <row r="83" spans="2:2" ht="27" x14ac:dyDescent="0.4">
      <c r="B83" s="49" t="s">
        <v>50</v>
      </c>
    </row>
    <row r="87" spans="2:2" x14ac:dyDescent="0.4">
      <c r="B87" s="50" t="s">
        <v>51</v>
      </c>
    </row>
    <row r="88" spans="2:2" x14ac:dyDescent="0.4">
      <c r="B88" s="50" t="s">
        <v>52</v>
      </c>
    </row>
    <row r="109" spans="2:2" ht="27" x14ac:dyDescent="0.4">
      <c r="B109" s="49" t="s">
        <v>53</v>
      </c>
    </row>
    <row r="112" spans="2:2" x14ac:dyDescent="0.4">
      <c r="B112" s="1" t="s">
        <v>54</v>
      </c>
    </row>
    <row r="114" spans="2:2" x14ac:dyDescent="0.4">
      <c r="B114" s="1" t="s">
        <v>55</v>
      </c>
    </row>
    <row r="116" spans="2:2" x14ac:dyDescent="0.4">
      <c r="B116" s="1" t="s">
        <v>56</v>
      </c>
    </row>
    <row r="118" spans="2:2" x14ac:dyDescent="0.4">
      <c r="B118" s="1" t="s">
        <v>57</v>
      </c>
    </row>
    <row r="120" spans="2:2" x14ac:dyDescent="0.4">
      <c r="B120" s="1" t="s">
        <v>58</v>
      </c>
    </row>
    <row r="122" spans="2:2" x14ac:dyDescent="0.4">
      <c r="B122" s="1" t="s">
        <v>59</v>
      </c>
    </row>
    <row r="124" spans="2:2" x14ac:dyDescent="0.4">
      <c r="B124" s="1" t="s">
        <v>60</v>
      </c>
    </row>
    <row r="126" spans="2:2" x14ac:dyDescent="0.4">
      <c r="B126" s="1" t="s">
        <v>61</v>
      </c>
    </row>
    <row r="128" spans="2:2" ht="20.399999999999999" x14ac:dyDescent="0.4">
      <c r="B128" s="51" t="s">
        <v>62</v>
      </c>
    </row>
    <row r="130" spans="2:2" x14ac:dyDescent="0.4">
      <c r="B130" s="1" t="s">
        <v>63</v>
      </c>
    </row>
    <row r="132" spans="2:2" x14ac:dyDescent="0.4">
      <c r="B132" s="52" t="s">
        <v>64</v>
      </c>
    </row>
    <row r="133" spans="2:2" x14ac:dyDescent="0.4">
      <c r="B133" s="1" t="s">
        <v>65</v>
      </c>
    </row>
    <row r="135" spans="2:2" ht="20.399999999999999" x14ac:dyDescent="0.4">
      <c r="B135" s="51" t="s">
        <v>66</v>
      </c>
    </row>
    <row r="137" spans="2:2" x14ac:dyDescent="0.4">
      <c r="B137" s="1" t="s">
        <v>67</v>
      </c>
    </row>
    <row r="139" spans="2:2" x14ac:dyDescent="0.4">
      <c r="B139" s="52" t="s">
        <v>64</v>
      </c>
    </row>
    <row r="140" spans="2:2" x14ac:dyDescent="0.4">
      <c r="B140" s="1" t="s">
        <v>68</v>
      </c>
    </row>
    <row r="141" spans="2:2" x14ac:dyDescent="0.4">
      <c r="B141" s="1" t="s">
        <v>69</v>
      </c>
    </row>
    <row r="142" spans="2:2" x14ac:dyDescent="0.4">
      <c r="B142" s="1" t="s">
        <v>70</v>
      </c>
    </row>
    <row r="143" spans="2:2" x14ac:dyDescent="0.4">
      <c r="B143" s="1" t="s">
        <v>71</v>
      </c>
    </row>
    <row r="144" spans="2:2" x14ac:dyDescent="0.4">
      <c r="B144" s="1" t="s">
        <v>72</v>
      </c>
    </row>
    <row r="145" spans="2:2" x14ac:dyDescent="0.4">
      <c r="B145" s="1" t="s">
        <v>73</v>
      </c>
    </row>
    <row r="146" spans="2:2" x14ac:dyDescent="0.4">
      <c r="B146" s="1" t="s">
        <v>74</v>
      </c>
    </row>
    <row r="148" spans="2:2" ht="20.399999999999999" x14ac:dyDescent="0.4">
      <c r="B148" s="51" t="s">
        <v>75</v>
      </c>
    </row>
    <row r="150" spans="2:2" x14ac:dyDescent="0.4">
      <c r="B150" s="1" t="s">
        <v>76</v>
      </c>
    </row>
    <row r="152" spans="2:2" x14ac:dyDescent="0.4">
      <c r="B152" s="52" t="s">
        <v>64</v>
      </c>
    </row>
    <row r="153" spans="2:2" x14ac:dyDescent="0.4">
      <c r="B153" s="1" t="s">
        <v>77</v>
      </c>
    </row>
    <row r="154" spans="2:2" x14ac:dyDescent="0.4">
      <c r="B154" s="1" t="s">
        <v>78</v>
      </c>
    </row>
    <row r="155" spans="2:2" x14ac:dyDescent="0.4">
      <c r="B155" s="1" t="s">
        <v>79</v>
      </c>
    </row>
    <row r="156" spans="2:2" x14ac:dyDescent="0.4">
      <c r="B156" s="1" t="s">
        <v>80</v>
      </c>
    </row>
    <row r="157" spans="2:2" x14ac:dyDescent="0.4">
      <c r="B157" s="1" t="s">
        <v>81</v>
      </c>
    </row>
    <row r="159" spans="2:2" x14ac:dyDescent="0.4">
      <c r="B159" s="1" t="s">
        <v>82</v>
      </c>
    </row>
    <row r="161" spans="2:2" ht="20.399999999999999" x14ac:dyDescent="0.4">
      <c r="B161" s="51" t="s">
        <v>83</v>
      </c>
    </row>
    <row r="163" spans="2:2" x14ac:dyDescent="0.4">
      <c r="B163" s="1" t="s">
        <v>84</v>
      </c>
    </row>
    <row r="165" spans="2:2" x14ac:dyDescent="0.4">
      <c r="B165" s="52" t="s">
        <v>64</v>
      </c>
    </row>
    <row r="166" spans="2:2" x14ac:dyDescent="0.4">
      <c r="B166" s="1" t="s">
        <v>85</v>
      </c>
    </row>
    <row r="167" spans="2:2" x14ac:dyDescent="0.4">
      <c r="B167" s="1" t="s">
        <v>86</v>
      </c>
    </row>
    <row r="168" spans="2:2" x14ac:dyDescent="0.4">
      <c r="B168" s="1" t="s">
        <v>87</v>
      </c>
    </row>
    <row r="169" spans="2:2" x14ac:dyDescent="0.4">
      <c r="B169" s="1" t="s">
        <v>88</v>
      </c>
    </row>
    <row r="170" spans="2:2" x14ac:dyDescent="0.4">
      <c r="B170" s="1" t="s">
        <v>89</v>
      </c>
    </row>
    <row r="172" spans="2:2" ht="20.399999999999999" x14ac:dyDescent="0.4">
      <c r="B172" s="51" t="s">
        <v>90</v>
      </c>
    </row>
    <row r="174" spans="2:2" x14ac:dyDescent="0.4">
      <c r="B174" s="1" t="s">
        <v>91</v>
      </c>
    </row>
    <row r="176" spans="2:2" x14ac:dyDescent="0.4">
      <c r="B176" s="52" t="s">
        <v>64</v>
      </c>
    </row>
    <row r="177" spans="2:2" x14ac:dyDescent="0.4">
      <c r="B177" s="1" t="s">
        <v>92</v>
      </c>
    </row>
    <row r="179" spans="2:2" x14ac:dyDescent="0.4">
      <c r="B179" s="1" t="s">
        <v>93</v>
      </c>
    </row>
    <row r="180" spans="2:2" x14ac:dyDescent="0.4">
      <c r="B180" s="1" t="s">
        <v>94</v>
      </c>
    </row>
    <row r="181" spans="2:2" x14ac:dyDescent="0.4">
      <c r="B181" s="1" t="s">
        <v>95</v>
      </c>
    </row>
    <row r="182" spans="2:2" x14ac:dyDescent="0.4">
      <c r="B182" s="1" t="s">
        <v>96</v>
      </c>
    </row>
    <row r="186" spans="2:2" ht="27" x14ac:dyDescent="0.4">
      <c r="B186" s="53" t="s">
        <v>97</v>
      </c>
    </row>
    <row r="188" spans="2:2" x14ac:dyDescent="0.4">
      <c r="B188" s="1" t="s">
        <v>98</v>
      </c>
    </row>
    <row r="189" spans="2:2" x14ac:dyDescent="0.4">
      <c r="B189" s="1" t="s">
        <v>99</v>
      </c>
    </row>
    <row r="191" spans="2:2" x14ac:dyDescent="0.4">
      <c r="B191" s="1" t="s">
        <v>100</v>
      </c>
    </row>
    <row r="192" spans="2:2" x14ac:dyDescent="0.4">
      <c r="B192" s="1" t="s">
        <v>101</v>
      </c>
    </row>
    <row r="194" spans="2:2" x14ac:dyDescent="0.4">
      <c r="B194" s="1" t="s">
        <v>102</v>
      </c>
    </row>
    <row r="195" spans="2:2" x14ac:dyDescent="0.4">
      <c r="B195" s="1" t="s">
        <v>103</v>
      </c>
    </row>
    <row r="197" spans="2:2" x14ac:dyDescent="0.4">
      <c r="B197" s="1" t="s">
        <v>104</v>
      </c>
    </row>
    <row r="198" spans="2:2" x14ac:dyDescent="0.4">
      <c r="B198" s="1" t="s">
        <v>105</v>
      </c>
    </row>
    <row r="200" spans="2:2" x14ac:dyDescent="0.4">
      <c r="B200" s="1" t="s">
        <v>106</v>
      </c>
    </row>
    <row r="201" spans="2:2" x14ac:dyDescent="0.4">
      <c r="B201" s="1" t="s">
        <v>107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94D2E-E382-48E2-826A-A506F6944746}">
  <sheetPr>
    <tabColor theme="6" tint="0.59999389629810485"/>
  </sheetPr>
  <dimension ref="A1:I51"/>
  <sheetViews>
    <sheetView showGridLines="0" zoomScale="85" zoomScaleNormal="85" workbookViewId="0">
      <selection activeCell="J5" sqref="J5"/>
    </sheetView>
  </sheetViews>
  <sheetFormatPr defaultColWidth="8.6640625" defaultRowHeight="14.4" x14ac:dyDescent="0.3"/>
  <cols>
    <col min="1" max="1" width="3.5546875" style="46" customWidth="1"/>
    <col min="2" max="2" width="8.6640625" style="46"/>
    <col min="3" max="3" width="45.6640625" style="12" bestFit="1" customWidth="1"/>
    <col min="4" max="4" width="25.33203125" style="12" customWidth="1"/>
    <col min="5" max="5" width="26.109375" style="12" customWidth="1"/>
    <col min="6" max="6" width="22.33203125" style="12" customWidth="1"/>
    <col min="7" max="7" width="17.5546875" style="46" customWidth="1"/>
    <col min="8" max="8" width="6.5546875" style="12" customWidth="1"/>
    <col min="9" max="9" width="0.6640625" style="12" customWidth="1"/>
    <col min="10" max="15" width="8.6640625" style="12"/>
    <col min="16" max="16" width="8.6640625" style="12" customWidth="1"/>
    <col min="17" max="16384" width="8.6640625" style="12"/>
  </cols>
  <sheetData>
    <row r="1" spans="1:9" x14ac:dyDescent="0.3">
      <c r="A1" s="10"/>
      <c r="B1" s="10"/>
      <c r="C1" s="5"/>
      <c r="D1" s="5"/>
      <c r="E1" s="5"/>
      <c r="F1" s="5"/>
      <c r="G1" s="10"/>
      <c r="H1" s="5"/>
      <c r="I1" s="11"/>
    </row>
    <row r="2" spans="1:9" x14ac:dyDescent="0.3">
      <c r="A2" s="10"/>
      <c r="B2" s="13" t="s">
        <v>18</v>
      </c>
      <c r="C2" s="5"/>
      <c r="D2" s="5"/>
      <c r="E2" s="5"/>
      <c r="F2" s="5"/>
      <c r="G2" s="10"/>
      <c r="H2" s="5"/>
      <c r="I2" s="11"/>
    </row>
    <row r="3" spans="1:9" ht="14.4" customHeight="1" x14ac:dyDescent="0.3">
      <c r="A3" s="10"/>
      <c r="B3" s="60" t="s">
        <v>19</v>
      </c>
      <c r="C3" s="60"/>
      <c r="D3" s="60"/>
      <c r="E3" s="60"/>
      <c r="F3" s="60"/>
      <c r="G3" s="10"/>
      <c r="H3" s="5"/>
      <c r="I3" s="11"/>
    </row>
    <row r="4" spans="1:9" x14ac:dyDescent="0.3">
      <c r="A4" s="10"/>
      <c r="B4" s="60"/>
      <c r="C4" s="60"/>
      <c r="D4" s="60"/>
      <c r="E4" s="60"/>
      <c r="F4" s="60"/>
      <c r="G4" s="10"/>
      <c r="H4" s="5"/>
      <c r="I4" s="11"/>
    </row>
    <row r="5" spans="1:9" x14ac:dyDescent="0.3">
      <c r="A5" s="10"/>
      <c r="B5" s="60"/>
      <c r="C5" s="60"/>
      <c r="D5" s="60"/>
      <c r="E5" s="60"/>
      <c r="F5" s="60"/>
      <c r="G5" s="10"/>
      <c r="H5" s="5"/>
      <c r="I5" s="11"/>
    </row>
    <row r="6" spans="1:9" x14ac:dyDescent="0.3">
      <c r="A6" s="10"/>
      <c r="B6" s="60"/>
      <c r="C6" s="60"/>
      <c r="D6" s="60"/>
      <c r="E6" s="60"/>
      <c r="F6" s="60"/>
      <c r="G6" s="10"/>
      <c r="H6" s="5"/>
      <c r="I6" s="11"/>
    </row>
    <row r="7" spans="1:9" ht="5.0999999999999996" customHeight="1" x14ac:dyDescent="0.3">
      <c r="A7" s="10"/>
      <c r="B7" s="10"/>
      <c r="C7" s="5"/>
      <c r="D7" s="5"/>
      <c r="E7" s="5"/>
      <c r="F7" s="5"/>
      <c r="G7" s="10"/>
      <c r="H7" s="5"/>
      <c r="I7" s="11"/>
    </row>
    <row r="8" spans="1:9" ht="3" customHeight="1" x14ac:dyDescent="0.3">
      <c r="A8" s="14"/>
      <c r="B8" s="14"/>
      <c r="C8" s="11"/>
      <c r="D8" s="15"/>
      <c r="E8" s="11"/>
      <c r="F8" s="11"/>
      <c r="G8" s="14"/>
      <c r="H8" s="11"/>
      <c r="I8" s="11"/>
    </row>
    <row r="9" spans="1:9" ht="5.0999999999999996" customHeight="1" x14ac:dyDescent="0.3">
      <c r="A9" s="10"/>
      <c r="B9" s="10"/>
      <c r="C9" s="5"/>
      <c r="D9" s="5"/>
      <c r="E9" s="5"/>
      <c r="F9" s="5"/>
      <c r="G9" s="10"/>
      <c r="H9" s="5"/>
      <c r="I9" s="11"/>
    </row>
    <row r="10" spans="1:9" s="21" customFormat="1" ht="14.4" customHeight="1" x14ac:dyDescent="0.3">
      <c r="A10" s="16"/>
      <c r="B10" s="16" t="s">
        <v>20</v>
      </c>
      <c r="C10" s="17" t="s">
        <v>21</v>
      </c>
      <c r="D10" s="18"/>
      <c r="E10" s="18"/>
      <c r="F10" s="18"/>
      <c r="G10" s="19"/>
      <c r="H10" s="18"/>
      <c r="I10" s="20"/>
    </row>
    <row r="11" spans="1:9" ht="20.399999999999999" customHeight="1" x14ac:dyDescent="0.3">
      <c r="A11" s="10"/>
      <c r="B11" s="10"/>
      <c r="C11" s="22"/>
      <c r="D11" s="23" t="s">
        <v>22</v>
      </c>
      <c r="E11" s="5"/>
      <c r="F11" s="5"/>
      <c r="G11" s="10"/>
      <c r="H11" s="5"/>
      <c r="I11" s="11"/>
    </row>
    <row r="12" spans="1:9" ht="14.4" customHeight="1" x14ac:dyDescent="0.3">
      <c r="A12" s="10"/>
      <c r="B12" s="10"/>
      <c r="C12" s="24" t="s">
        <v>23</v>
      </c>
      <c r="D12" s="25"/>
      <c r="E12" s="5"/>
      <c r="F12" s="5"/>
      <c r="G12" s="10"/>
      <c r="H12" s="5"/>
      <c r="I12" s="11"/>
    </row>
    <row r="13" spans="1:9" ht="14.4" customHeight="1" x14ac:dyDescent="0.3">
      <c r="A13" s="10"/>
      <c r="B13" s="10"/>
      <c r="C13" s="26" t="s">
        <v>24</v>
      </c>
      <c r="D13" s="25"/>
      <c r="E13" s="5"/>
      <c r="F13" s="5"/>
      <c r="G13" s="10"/>
      <c r="H13" s="5"/>
      <c r="I13" s="11"/>
    </row>
    <row r="14" spans="1:9" ht="14.4" customHeight="1" x14ac:dyDescent="0.3">
      <c r="A14" s="10"/>
      <c r="B14" s="10"/>
      <c r="C14" s="26" t="s">
        <v>25</v>
      </c>
      <c r="D14" s="25"/>
      <c r="E14" s="5"/>
      <c r="F14" s="5"/>
      <c r="G14" s="10"/>
      <c r="H14" s="5"/>
      <c r="I14" s="11"/>
    </row>
    <row r="15" spans="1:9" ht="14.4" customHeight="1" x14ac:dyDescent="0.3">
      <c r="A15" s="10"/>
      <c r="B15" s="10"/>
      <c r="C15" s="26" t="s">
        <v>26</v>
      </c>
      <c r="D15" s="25"/>
      <c r="E15" s="5"/>
      <c r="F15" s="5"/>
      <c r="G15" s="10"/>
      <c r="H15" s="5"/>
      <c r="I15" s="11"/>
    </row>
    <row r="16" spans="1:9" ht="5.0999999999999996" customHeight="1" x14ac:dyDescent="0.3">
      <c r="A16" s="10"/>
      <c r="B16" s="10"/>
      <c r="C16" s="5"/>
      <c r="D16" s="27"/>
      <c r="E16" s="5"/>
      <c r="F16" s="5"/>
      <c r="G16" s="10"/>
      <c r="H16" s="5"/>
      <c r="I16" s="11"/>
    </row>
    <row r="17" spans="1:9" ht="3" customHeight="1" x14ac:dyDescent="0.3">
      <c r="A17" s="14"/>
      <c r="B17" s="14"/>
      <c r="C17" s="11"/>
      <c r="D17" s="15"/>
      <c r="E17" s="11"/>
      <c r="F17" s="11"/>
      <c r="G17" s="14"/>
      <c r="H17" s="11"/>
      <c r="I17" s="11"/>
    </row>
    <row r="18" spans="1:9" ht="5.0999999999999996" customHeight="1" x14ac:dyDescent="0.3">
      <c r="A18" s="10"/>
      <c r="B18" s="10"/>
      <c r="C18" s="5"/>
      <c r="D18" s="27"/>
      <c r="E18" s="5"/>
      <c r="F18" s="5"/>
      <c r="G18" s="10"/>
      <c r="H18" s="5"/>
      <c r="I18" s="11"/>
    </row>
    <row r="19" spans="1:9" s="21" customFormat="1" ht="14.4" customHeight="1" x14ac:dyDescent="0.3">
      <c r="A19" s="16"/>
      <c r="B19" s="16" t="s">
        <v>27</v>
      </c>
      <c r="C19" s="61" t="s">
        <v>28</v>
      </c>
      <c r="D19" s="61"/>
      <c r="E19" s="61"/>
      <c r="F19" s="18"/>
      <c r="G19" s="19"/>
      <c r="H19" s="18"/>
      <c r="I19" s="20"/>
    </row>
    <row r="20" spans="1:9" ht="14.4" customHeight="1" x14ac:dyDescent="0.3">
      <c r="A20" s="10"/>
      <c r="B20" s="10"/>
      <c r="C20" s="28" t="s">
        <v>29</v>
      </c>
      <c r="D20" s="5"/>
      <c r="E20" s="5"/>
      <c r="F20" s="5"/>
      <c r="G20" s="10"/>
      <c r="H20" s="5"/>
      <c r="I20" s="11"/>
    </row>
    <row r="21" spans="1:9" ht="20.399999999999999" customHeight="1" x14ac:dyDescent="0.3">
      <c r="A21" s="10"/>
      <c r="B21" s="10"/>
      <c r="C21" s="29"/>
      <c r="D21" s="30" t="s">
        <v>30</v>
      </c>
      <c r="E21" s="23" t="s">
        <v>31</v>
      </c>
      <c r="F21" s="23" t="s">
        <v>32</v>
      </c>
      <c r="G21" s="62" t="s">
        <v>33</v>
      </c>
      <c r="H21" s="5"/>
      <c r="I21" s="11"/>
    </row>
    <row r="22" spans="1:9" ht="36" customHeight="1" x14ac:dyDescent="0.3">
      <c r="A22" s="10"/>
      <c r="B22" s="10"/>
      <c r="C22" s="22"/>
      <c r="D22" s="31" t="s">
        <v>34</v>
      </c>
      <c r="E22" s="31" t="s">
        <v>35</v>
      </c>
      <c r="F22" s="31" t="s">
        <v>36</v>
      </c>
      <c r="G22" s="63"/>
      <c r="H22" s="5"/>
      <c r="I22" s="11"/>
    </row>
    <row r="23" spans="1:9" ht="14.4" customHeight="1" x14ac:dyDescent="0.3">
      <c r="A23" s="10"/>
      <c r="B23" s="10"/>
      <c r="C23" s="24" t="s">
        <v>23</v>
      </c>
      <c r="D23" s="32">
        <v>22</v>
      </c>
      <c r="E23" s="32">
        <v>11</v>
      </c>
      <c r="F23" s="32">
        <v>5</v>
      </c>
      <c r="G23" s="33">
        <f>((D23*$D$33)+(E23*$D$34)+(F23*$D$35))</f>
        <v>14250</v>
      </c>
      <c r="H23" s="5"/>
      <c r="I23" s="11"/>
    </row>
    <row r="24" spans="1:9" ht="14.4" customHeight="1" x14ac:dyDescent="0.3">
      <c r="A24" s="10"/>
      <c r="B24" s="10"/>
      <c r="C24" s="26" t="s">
        <v>24</v>
      </c>
      <c r="D24" s="32">
        <v>17</v>
      </c>
      <c r="E24" s="32">
        <v>13</v>
      </c>
      <c r="F24" s="32">
        <v>5</v>
      </c>
      <c r="G24" s="33">
        <f t="shared" ref="G24:G26" si="0">((D24*$D$33)+(E24*$D$34)+(F24*$D$35))</f>
        <v>14625</v>
      </c>
      <c r="H24" s="5"/>
      <c r="I24" s="11"/>
    </row>
    <row r="25" spans="1:9" ht="14.4" customHeight="1" x14ac:dyDescent="0.3">
      <c r="A25" s="10"/>
      <c r="B25" s="10"/>
      <c r="C25" s="26" t="s">
        <v>25</v>
      </c>
      <c r="D25" s="32">
        <v>12</v>
      </c>
      <c r="E25" s="32">
        <v>9</v>
      </c>
      <c r="F25" s="32">
        <v>14</v>
      </c>
      <c r="G25" s="33">
        <f t="shared" si="0"/>
        <v>22800</v>
      </c>
      <c r="H25" s="5"/>
      <c r="I25" s="11"/>
    </row>
    <row r="26" spans="1:9" ht="14.4" customHeight="1" x14ac:dyDescent="0.3">
      <c r="A26" s="10"/>
      <c r="B26" s="10"/>
      <c r="C26" s="26" t="s">
        <v>37</v>
      </c>
      <c r="D26" s="32">
        <v>13</v>
      </c>
      <c r="E26" s="32">
        <v>6</v>
      </c>
      <c r="F26" s="32">
        <v>3</v>
      </c>
      <c r="G26" s="33">
        <f t="shared" si="0"/>
        <v>8225</v>
      </c>
      <c r="H26" s="5"/>
      <c r="I26" s="11"/>
    </row>
    <row r="27" spans="1:9" ht="5.0999999999999996" customHeight="1" x14ac:dyDescent="0.3">
      <c r="A27" s="10"/>
      <c r="B27" s="10"/>
      <c r="C27" s="5"/>
      <c r="D27" s="5"/>
      <c r="E27" s="5"/>
      <c r="F27" s="5"/>
      <c r="G27" s="10"/>
      <c r="H27" s="5"/>
      <c r="I27" s="11"/>
    </row>
    <row r="28" spans="1:9" ht="3" customHeight="1" x14ac:dyDescent="0.3">
      <c r="A28" s="14"/>
      <c r="B28" s="14"/>
      <c r="C28" s="34"/>
      <c r="D28" s="11"/>
      <c r="E28" s="11"/>
      <c r="F28" s="11"/>
      <c r="G28" s="14"/>
      <c r="H28" s="11"/>
      <c r="I28" s="11"/>
    </row>
    <row r="29" spans="1:9" ht="5.0999999999999996" customHeight="1" x14ac:dyDescent="0.3">
      <c r="A29" s="10"/>
      <c r="B29" s="10"/>
      <c r="C29" s="35"/>
      <c r="D29" s="5"/>
      <c r="E29" s="5"/>
      <c r="F29" s="5"/>
      <c r="G29" s="10"/>
      <c r="H29" s="5"/>
      <c r="I29" s="11"/>
    </row>
    <row r="30" spans="1:9" s="21" customFormat="1" ht="14.4" customHeight="1" x14ac:dyDescent="0.3">
      <c r="A30" s="16"/>
      <c r="B30" s="16" t="s">
        <v>38</v>
      </c>
      <c r="C30" s="61" t="s">
        <v>39</v>
      </c>
      <c r="D30" s="61"/>
      <c r="E30" s="18"/>
      <c r="F30" s="18"/>
      <c r="G30" s="19"/>
      <c r="H30" s="18"/>
      <c r="I30" s="20"/>
    </row>
    <row r="31" spans="1:9" ht="14.4" customHeight="1" x14ac:dyDescent="0.3">
      <c r="A31" s="10"/>
      <c r="B31" s="10"/>
      <c r="C31" s="28" t="s">
        <v>29</v>
      </c>
      <c r="D31" s="5"/>
      <c r="E31" s="5"/>
      <c r="F31" s="5"/>
      <c r="G31" s="10"/>
      <c r="H31" s="5"/>
      <c r="I31" s="11"/>
    </row>
    <row r="32" spans="1:9" ht="20.399999999999999" customHeight="1" x14ac:dyDescent="0.3">
      <c r="A32" s="10"/>
      <c r="B32" s="10"/>
      <c r="C32" s="64" t="s">
        <v>40</v>
      </c>
      <c r="D32" s="65"/>
      <c r="E32" s="5"/>
      <c r="F32" s="5"/>
      <c r="G32" s="10"/>
      <c r="H32" s="5"/>
      <c r="I32" s="11"/>
    </row>
    <row r="33" spans="1:9" ht="14.4" customHeight="1" x14ac:dyDescent="0.3">
      <c r="A33" s="10"/>
      <c r="B33" s="10"/>
      <c r="C33" s="26" t="s">
        <v>30</v>
      </c>
      <c r="D33" s="36">
        <v>125</v>
      </c>
      <c r="E33" s="5"/>
      <c r="F33" s="5"/>
      <c r="G33" s="10"/>
      <c r="H33" s="5"/>
      <c r="I33" s="11"/>
    </row>
    <row r="34" spans="1:9" ht="14.4" customHeight="1" x14ac:dyDescent="0.3">
      <c r="A34" s="10"/>
      <c r="B34" s="10"/>
      <c r="C34" s="26" t="s">
        <v>31</v>
      </c>
      <c r="D34" s="36">
        <v>500</v>
      </c>
      <c r="E34" s="5"/>
      <c r="F34" s="5"/>
      <c r="G34" s="10"/>
      <c r="H34" s="5"/>
      <c r="I34" s="11"/>
    </row>
    <row r="35" spans="1:9" ht="14.4" customHeight="1" x14ac:dyDescent="0.3">
      <c r="A35" s="10"/>
      <c r="B35" s="10"/>
      <c r="C35" s="26" t="s">
        <v>32</v>
      </c>
      <c r="D35" s="36">
        <v>1200</v>
      </c>
      <c r="E35" s="5"/>
      <c r="F35" s="5"/>
      <c r="G35" s="10"/>
      <c r="H35" s="5"/>
      <c r="I35" s="11"/>
    </row>
    <row r="36" spans="1:9" ht="14.4" customHeight="1" x14ac:dyDescent="0.3">
      <c r="A36" s="10"/>
      <c r="B36" s="10"/>
      <c r="C36" s="5"/>
      <c r="D36" s="5"/>
      <c r="E36" s="5"/>
      <c r="F36" s="5"/>
      <c r="G36" s="10"/>
      <c r="H36" s="5"/>
      <c r="I36" s="11"/>
    </row>
    <row r="37" spans="1:9" ht="3" customHeight="1" x14ac:dyDescent="0.3">
      <c r="A37" s="14"/>
      <c r="B37" s="14"/>
      <c r="C37" s="11"/>
      <c r="D37" s="11"/>
      <c r="E37" s="11"/>
      <c r="F37" s="11"/>
      <c r="G37" s="14"/>
      <c r="H37" s="11"/>
      <c r="I37" s="11"/>
    </row>
    <row r="38" spans="1:9" ht="5.0999999999999996" customHeight="1" x14ac:dyDescent="0.3">
      <c r="A38" s="10"/>
      <c r="B38" s="10"/>
      <c r="C38" s="5"/>
      <c r="D38" s="5"/>
      <c r="E38" s="5"/>
      <c r="F38" s="5"/>
      <c r="G38" s="10"/>
      <c r="H38" s="5"/>
      <c r="I38" s="11"/>
    </row>
    <row r="39" spans="1:9" s="21" customFormat="1" ht="14.4" customHeight="1" x14ac:dyDescent="0.3">
      <c r="A39" s="16"/>
      <c r="B39" s="16" t="s">
        <v>41</v>
      </c>
      <c r="C39" s="17" t="s">
        <v>42</v>
      </c>
      <c r="D39" s="18"/>
      <c r="E39" s="18"/>
      <c r="F39" s="18"/>
      <c r="G39" s="19"/>
      <c r="H39" s="18"/>
      <c r="I39" s="20"/>
    </row>
    <row r="40" spans="1:9" ht="5.0999999999999996" customHeight="1" x14ac:dyDescent="0.3">
      <c r="A40" s="10"/>
      <c r="B40" s="10"/>
      <c r="C40" s="35"/>
      <c r="D40" s="5"/>
      <c r="E40" s="5"/>
      <c r="F40" s="5"/>
      <c r="G40" s="10"/>
      <c r="H40" s="5"/>
      <c r="I40" s="11"/>
    </row>
    <row r="41" spans="1:9" ht="14.4" customHeight="1" x14ac:dyDescent="0.3">
      <c r="A41" s="10"/>
      <c r="B41" s="10"/>
      <c r="C41" s="37" t="s">
        <v>43</v>
      </c>
      <c r="D41" s="38">
        <f>SUMPRODUCT(D12:D15,G23:G26)</f>
        <v>0</v>
      </c>
      <c r="E41" s="5"/>
      <c r="F41" s="5"/>
      <c r="G41" s="10"/>
      <c r="H41" s="5"/>
      <c r="I41" s="11"/>
    </row>
    <row r="42" spans="1:9" ht="14.4" customHeight="1" x14ac:dyDescent="0.3">
      <c r="A42" s="10"/>
      <c r="B42" s="10"/>
      <c r="C42" s="39" t="s">
        <v>44</v>
      </c>
      <c r="D42" s="40">
        <f>D41/100</f>
        <v>0</v>
      </c>
      <c r="E42" s="41"/>
      <c r="F42" s="5"/>
      <c r="G42" s="10"/>
      <c r="H42" s="5"/>
      <c r="I42" s="11"/>
    </row>
    <row r="43" spans="1:9" ht="14.4" customHeight="1" x14ac:dyDescent="0.3">
      <c r="A43" s="10"/>
      <c r="B43" s="10"/>
      <c r="C43" s="37" t="s">
        <v>45</v>
      </c>
      <c r="D43" s="42" t="e">
        <f>D42/(SUM(D12:D15))</f>
        <v>#DIV/0!</v>
      </c>
      <c r="E43" s="5"/>
      <c r="F43" s="5"/>
      <c r="G43" s="10"/>
      <c r="H43" s="5"/>
      <c r="I43" s="11"/>
    </row>
    <row r="44" spans="1:9" ht="5.0999999999999996" customHeight="1" x14ac:dyDescent="0.3">
      <c r="A44" s="10"/>
      <c r="B44" s="10"/>
      <c r="C44" s="35"/>
      <c r="D44" s="43"/>
      <c r="E44" s="5"/>
      <c r="F44" s="5"/>
      <c r="G44" s="10"/>
      <c r="H44" s="5"/>
      <c r="I44" s="11"/>
    </row>
    <row r="45" spans="1:9" ht="3" customHeight="1" x14ac:dyDescent="0.3">
      <c r="A45" s="14"/>
      <c r="B45" s="14"/>
      <c r="C45" s="11"/>
      <c r="D45" s="11"/>
      <c r="E45" s="11"/>
      <c r="F45" s="11"/>
      <c r="G45" s="14"/>
      <c r="H45" s="11"/>
      <c r="I45" s="11"/>
    </row>
    <row r="46" spans="1:9" ht="5.0999999999999996" customHeight="1" x14ac:dyDescent="0.3">
      <c r="A46" s="10"/>
      <c r="B46" s="10"/>
      <c r="C46" s="5"/>
      <c r="D46" s="44"/>
      <c r="E46" s="44"/>
      <c r="F46" s="44"/>
      <c r="G46" s="45"/>
      <c r="H46" s="44"/>
      <c r="I46" s="11"/>
    </row>
    <row r="47" spans="1:9" ht="36.9" customHeight="1" x14ac:dyDescent="0.3">
      <c r="A47" s="10"/>
      <c r="B47" s="10"/>
      <c r="C47" s="59" t="s">
        <v>46</v>
      </c>
      <c r="D47" s="59"/>
      <c r="E47" s="59"/>
      <c r="F47" s="59"/>
      <c r="G47" s="59"/>
      <c r="H47" s="44"/>
      <c r="I47" s="11"/>
    </row>
    <row r="48" spans="1:9" ht="5.0999999999999996" customHeight="1" x14ac:dyDescent="0.3">
      <c r="A48" s="10"/>
      <c r="B48" s="10"/>
      <c r="C48" s="5"/>
      <c r="D48" s="5"/>
      <c r="E48" s="5"/>
      <c r="F48" s="5"/>
      <c r="G48" s="45"/>
      <c r="H48" s="44"/>
      <c r="I48" s="11"/>
    </row>
    <row r="49" spans="1:9" ht="27.9" customHeight="1" x14ac:dyDescent="0.3">
      <c r="A49" s="10"/>
      <c r="B49" s="10"/>
      <c r="C49" s="59" t="s">
        <v>47</v>
      </c>
      <c r="D49" s="59"/>
      <c r="E49" s="59"/>
      <c r="F49" s="59"/>
      <c r="G49" s="59"/>
      <c r="H49" s="5"/>
      <c r="I49" s="11"/>
    </row>
    <row r="50" spans="1:9" ht="5.0999999999999996" customHeight="1" x14ac:dyDescent="0.3">
      <c r="A50" s="10"/>
      <c r="B50" s="10"/>
      <c r="C50" s="5"/>
      <c r="D50" s="5"/>
      <c r="E50" s="5"/>
      <c r="F50" s="5"/>
      <c r="G50" s="10"/>
      <c r="H50" s="5"/>
      <c r="I50" s="11"/>
    </row>
    <row r="51" spans="1:9" ht="3" customHeight="1" x14ac:dyDescent="0.3">
      <c r="A51" s="14"/>
      <c r="B51" s="14"/>
      <c r="C51" s="11"/>
      <c r="D51" s="11"/>
      <c r="E51" s="11"/>
      <c r="F51" s="11"/>
      <c r="G51" s="14"/>
      <c r="H51" s="11"/>
      <c r="I51" s="11"/>
    </row>
  </sheetData>
  <sheetProtection algorithmName="SHA-512" hashValue="cnPpjsGieisoYHmLWzpW+Tl8mOBTyIrF9mFMgNGgzu6Sx3nfEAhqV3kLis+rFwKsDqpLuSF0pwMOdBBrW4JzLw==" saltValue="sAxJKd6PfvV00bqHLWy5yg==" spinCount="100000" sheet="1" objects="1" scenarios="1"/>
  <mergeCells count="7">
    <mergeCell ref="C49:G49"/>
    <mergeCell ref="B3:F6"/>
    <mergeCell ref="C19:E19"/>
    <mergeCell ref="G21:G22"/>
    <mergeCell ref="C30:D30"/>
    <mergeCell ref="C32:D32"/>
    <mergeCell ref="C47:G4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C3EDC-A934-4DF6-BCFD-2A3CB85EBC1B}">
  <sheetPr>
    <tabColor theme="8" tint="0.79998168889431442"/>
  </sheetPr>
  <dimension ref="B2:I22"/>
  <sheetViews>
    <sheetView showGridLines="0" workbookViewId="0"/>
  </sheetViews>
  <sheetFormatPr defaultRowHeight="14.4" x14ac:dyDescent="0.3"/>
  <cols>
    <col min="1" max="1" width="4.109375" customWidth="1"/>
    <col min="2" max="2" width="10" customWidth="1"/>
    <col min="3" max="3" width="25.6640625" customWidth="1"/>
    <col min="4" max="4" width="58.5546875" customWidth="1"/>
    <col min="5" max="9" width="20" customWidth="1"/>
  </cols>
  <sheetData>
    <row r="2" spans="2:9" ht="16.8" x14ac:dyDescent="0.3">
      <c r="B2" s="54" t="s">
        <v>108</v>
      </c>
      <c r="C2" s="54" t="s">
        <v>109</v>
      </c>
      <c r="D2" s="54" t="s">
        <v>110</v>
      </c>
      <c r="E2" s="54" t="s">
        <v>111</v>
      </c>
      <c r="F2" s="54" t="s">
        <v>112</v>
      </c>
      <c r="G2" s="54" t="s">
        <v>113</v>
      </c>
      <c r="H2" s="54" t="s">
        <v>114</v>
      </c>
      <c r="I2" s="54" t="s">
        <v>115</v>
      </c>
    </row>
    <row r="3" spans="2:9" ht="50.4" x14ac:dyDescent="0.3">
      <c r="B3" s="55">
        <v>1</v>
      </c>
      <c r="C3" s="55" t="s">
        <v>116</v>
      </c>
      <c r="D3" s="55" t="s">
        <v>117</v>
      </c>
      <c r="E3" s="55" t="s">
        <v>118</v>
      </c>
      <c r="F3" s="55"/>
      <c r="G3" s="55"/>
      <c r="H3" s="55"/>
      <c r="I3" s="55"/>
    </row>
    <row r="4" spans="2:9" ht="50.4" x14ac:dyDescent="0.3">
      <c r="B4" s="55">
        <v>2</v>
      </c>
      <c r="C4" s="55" t="s">
        <v>119</v>
      </c>
      <c r="D4" s="55" t="s">
        <v>120</v>
      </c>
      <c r="E4" s="55" t="s">
        <v>118</v>
      </c>
      <c r="F4" s="55"/>
      <c r="G4" s="55"/>
      <c r="H4" s="55"/>
      <c r="I4" s="55"/>
    </row>
    <row r="5" spans="2:9" ht="33.6" x14ac:dyDescent="0.3">
      <c r="B5" s="55">
        <v>3</v>
      </c>
      <c r="C5" s="55" t="s">
        <v>121</v>
      </c>
      <c r="D5" s="55" t="s">
        <v>122</v>
      </c>
      <c r="E5" s="55" t="s">
        <v>118</v>
      </c>
      <c r="F5" s="55"/>
      <c r="G5" s="55"/>
      <c r="H5" s="55"/>
      <c r="I5" s="55"/>
    </row>
    <row r="6" spans="2:9" ht="50.4" x14ac:dyDescent="0.3">
      <c r="B6" s="55">
        <v>4</v>
      </c>
      <c r="C6" s="55" t="s">
        <v>123</v>
      </c>
      <c r="D6" s="55" t="s">
        <v>124</v>
      </c>
      <c r="E6" s="55" t="s">
        <v>118</v>
      </c>
      <c r="F6" s="55"/>
      <c r="G6" s="55"/>
      <c r="H6" s="55"/>
      <c r="I6" s="55"/>
    </row>
    <row r="7" spans="2:9" ht="50.4" x14ac:dyDescent="0.3">
      <c r="B7" s="55">
        <v>5</v>
      </c>
      <c r="C7" s="55" t="s">
        <v>125</v>
      </c>
      <c r="D7" s="55" t="s">
        <v>126</v>
      </c>
      <c r="E7" s="55" t="s">
        <v>118</v>
      </c>
      <c r="F7" s="55"/>
      <c r="G7" s="55"/>
      <c r="H7" s="55"/>
      <c r="I7" s="55"/>
    </row>
    <row r="8" spans="2:9" ht="33.6" x14ac:dyDescent="0.3">
      <c r="B8" s="55">
        <v>6</v>
      </c>
      <c r="C8" s="55" t="s">
        <v>127</v>
      </c>
      <c r="D8" s="55" t="s">
        <v>128</v>
      </c>
      <c r="E8" s="55" t="s">
        <v>118</v>
      </c>
      <c r="F8" s="55"/>
      <c r="G8" s="55"/>
      <c r="H8" s="55"/>
      <c r="I8" s="55"/>
    </row>
    <row r="9" spans="2:9" ht="33.6" x14ac:dyDescent="0.3">
      <c r="B9" s="55">
        <v>7</v>
      </c>
      <c r="C9" s="55" t="s">
        <v>129</v>
      </c>
      <c r="D9" s="55" t="s">
        <v>130</v>
      </c>
      <c r="E9" s="55" t="s">
        <v>118</v>
      </c>
      <c r="F9" s="55"/>
      <c r="G9" s="55"/>
      <c r="H9" s="55"/>
      <c r="I9" s="55"/>
    </row>
    <row r="10" spans="2:9" ht="33.6" x14ac:dyDescent="0.3">
      <c r="B10" s="55">
        <v>8</v>
      </c>
      <c r="C10" s="55" t="s">
        <v>131</v>
      </c>
      <c r="D10" s="55" t="s">
        <v>132</v>
      </c>
      <c r="E10" s="55" t="s">
        <v>118</v>
      </c>
      <c r="F10" s="55"/>
      <c r="G10" s="55"/>
      <c r="H10" s="55"/>
      <c r="I10" s="55"/>
    </row>
    <row r="11" spans="2:9" ht="33.6" x14ac:dyDescent="0.3">
      <c r="B11" s="55">
        <v>9</v>
      </c>
      <c r="C11" s="55" t="s">
        <v>133</v>
      </c>
      <c r="D11" s="55" t="s">
        <v>134</v>
      </c>
      <c r="E11" s="55" t="s">
        <v>118</v>
      </c>
      <c r="F11" s="55"/>
      <c r="G11" s="55"/>
      <c r="H11" s="55"/>
      <c r="I11" s="55"/>
    </row>
    <row r="12" spans="2:9" ht="33.6" x14ac:dyDescent="0.3">
      <c r="B12" s="55">
        <v>10</v>
      </c>
      <c r="C12" s="55" t="s">
        <v>135</v>
      </c>
      <c r="D12" s="55" t="s">
        <v>136</v>
      </c>
      <c r="E12" s="55" t="s">
        <v>118</v>
      </c>
      <c r="F12" s="55"/>
      <c r="G12" s="55"/>
      <c r="H12" s="55"/>
      <c r="I12" s="55"/>
    </row>
    <row r="13" spans="2:9" ht="33.6" x14ac:dyDescent="0.3">
      <c r="B13" s="55">
        <v>11</v>
      </c>
      <c r="C13" s="55" t="s">
        <v>137</v>
      </c>
      <c r="D13" s="55" t="s">
        <v>138</v>
      </c>
      <c r="E13" s="55" t="s">
        <v>118</v>
      </c>
      <c r="F13" s="55"/>
      <c r="G13" s="55"/>
      <c r="H13" s="55"/>
      <c r="I13" s="55"/>
    </row>
    <row r="14" spans="2:9" ht="33.6" x14ac:dyDescent="0.3">
      <c r="B14" s="55">
        <v>12</v>
      </c>
      <c r="C14" s="55" t="s">
        <v>139</v>
      </c>
      <c r="D14" s="55" t="s">
        <v>140</v>
      </c>
      <c r="E14" s="55" t="s">
        <v>118</v>
      </c>
      <c r="F14" s="55"/>
      <c r="G14" s="55"/>
      <c r="H14" s="55"/>
      <c r="I14" s="55"/>
    </row>
    <row r="15" spans="2:9" ht="33.6" x14ac:dyDescent="0.3">
      <c r="B15" s="55">
        <v>13</v>
      </c>
      <c r="C15" s="55" t="s">
        <v>141</v>
      </c>
      <c r="D15" s="55" t="s">
        <v>142</v>
      </c>
      <c r="E15" s="55" t="s">
        <v>118</v>
      </c>
      <c r="F15" s="55"/>
      <c r="G15" s="55"/>
      <c r="H15" s="55"/>
      <c r="I15" s="55"/>
    </row>
    <row r="16" spans="2:9" ht="33.6" x14ac:dyDescent="0.3">
      <c r="B16" s="55">
        <v>14</v>
      </c>
      <c r="C16" s="55" t="s">
        <v>143</v>
      </c>
      <c r="D16" s="55" t="s">
        <v>144</v>
      </c>
      <c r="E16" s="55" t="s">
        <v>118</v>
      </c>
      <c r="F16" s="55"/>
      <c r="G16" s="55"/>
      <c r="H16" s="55"/>
      <c r="I16" s="55"/>
    </row>
    <row r="17" spans="2:9" ht="33.6" x14ac:dyDescent="0.3">
      <c r="B17" s="55">
        <v>15</v>
      </c>
      <c r="C17" s="55" t="s">
        <v>145</v>
      </c>
      <c r="D17" s="55" t="s">
        <v>146</v>
      </c>
      <c r="E17" s="55" t="s">
        <v>118</v>
      </c>
      <c r="F17" s="55"/>
      <c r="G17" s="55"/>
      <c r="H17" s="55"/>
      <c r="I17" s="55"/>
    </row>
    <row r="18" spans="2:9" ht="33.6" x14ac:dyDescent="0.3">
      <c r="B18" s="55">
        <v>16</v>
      </c>
      <c r="C18" s="55" t="s">
        <v>147</v>
      </c>
      <c r="D18" s="55" t="s">
        <v>148</v>
      </c>
      <c r="E18" s="55" t="s">
        <v>118</v>
      </c>
      <c r="F18" s="55"/>
      <c r="G18" s="55"/>
      <c r="H18" s="55"/>
      <c r="I18" s="55"/>
    </row>
    <row r="19" spans="2:9" ht="33.6" x14ac:dyDescent="0.3">
      <c r="B19" s="55">
        <v>17</v>
      </c>
      <c r="C19" s="55" t="s">
        <v>149</v>
      </c>
      <c r="D19" s="55" t="s">
        <v>150</v>
      </c>
      <c r="E19" s="55" t="s">
        <v>118</v>
      </c>
      <c r="F19" s="55"/>
      <c r="G19" s="55"/>
      <c r="H19" s="55"/>
      <c r="I19" s="55"/>
    </row>
    <row r="20" spans="2:9" ht="33.6" x14ac:dyDescent="0.3">
      <c r="B20" s="55">
        <v>18</v>
      </c>
      <c r="C20" s="55" t="s">
        <v>151</v>
      </c>
      <c r="D20" s="55" t="s">
        <v>152</v>
      </c>
      <c r="E20" s="55" t="s">
        <v>118</v>
      </c>
      <c r="F20" s="55"/>
      <c r="G20" s="55"/>
      <c r="H20" s="55"/>
      <c r="I20" s="55"/>
    </row>
    <row r="21" spans="2:9" ht="33.6" x14ac:dyDescent="0.3">
      <c r="B21" s="55">
        <v>19</v>
      </c>
      <c r="C21" s="55" t="s">
        <v>153</v>
      </c>
      <c r="D21" s="55" t="s">
        <v>154</v>
      </c>
      <c r="E21" s="55" t="s">
        <v>118</v>
      </c>
      <c r="F21" s="55"/>
      <c r="G21" s="55"/>
      <c r="H21" s="55"/>
      <c r="I21" s="55"/>
    </row>
    <row r="22" spans="2:9" ht="33.6" x14ac:dyDescent="0.3">
      <c r="B22" s="55">
        <v>20</v>
      </c>
      <c r="C22" s="55" t="s">
        <v>155</v>
      </c>
      <c r="D22" s="55" t="s">
        <v>156</v>
      </c>
      <c r="E22" s="55" t="s">
        <v>118</v>
      </c>
      <c r="F22" s="55"/>
      <c r="G22" s="55"/>
      <c r="H22" s="55"/>
      <c r="I22" s="5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A5F21-5197-4302-B9AE-89479C42987A}">
  <sheetPr>
    <tabColor theme="8" tint="0.79998168889431442"/>
  </sheetPr>
  <dimension ref="L5:L7"/>
  <sheetViews>
    <sheetView showGridLines="0" tabSelected="1" topLeftCell="A13" workbookViewId="0">
      <selection activeCell="V24" sqref="V24"/>
    </sheetView>
  </sheetViews>
  <sheetFormatPr defaultRowHeight="14.4" x14ac:dyDescent="0.3"/>
  <sheetData>
    <row r="5" spans="12:12" x14ac:dyDescent="0.3">
      <c r="L5" t="s">
        <v>2</v>
      </c>
    </row>
    <row r="7" spans="12:12" x14ac:dyDescent="0.3">
      <c r="L7" t="s">
        <v>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CA32D-4DB1-4E65-8500-6B3998A5BD39}">
  <sheetPr>
    <tabColor theme="3" tint="9.9978637043366805E-2"/>
  </sheetPr>
  <dimension ref="B2:B19"/>
  <sheetViews>
    <sheetView showGridLines="0" zoomScale="85" zoomScaleNormal="85" workbookViewId="0">
      <selection activeCell="P3" sqref="P3"/>
    </sheetView>
  </sheetViews>
  <sheetFormatPr defaultRowHeight="24.6" x14ac:dyDescent="0.55000000000000004"/>
  <cols>
    <col min="1" max="1" width="1.33203125" style="2" customWidth="1"/>
    <col min="2" max="16384" width="8.88671875" style="2"/>
  </cols>
  <sheetData>
    <row r="2" spans="2:2" ht="34.799999999999997" x14ac:dyDescent="0.55000000000000004">
      <c r="B2" s="58" t="s">
        <v>157</v>
      </c>
    </row>
    <row r="4" spans="2:2" x14ac:dyDescent="0.55000000000000004">
      <c r="B4" s="56" t="s">
        <v>158</v>
      </c>
    </row>
    <row r="6" spans="2:2" x14ac:dyDescent="0.55000000000000004">
      <c r="B6" s="57" t="s">
        <v>160</v>
      </c>
    </row>
    <row r="7" spans="2:2" x14ac:dyDescent="0.55000000000000004">
      <c r="B7" s="57" t="s">
        <v>161</v>
      </c>
    </row>
    <row r="8" spans="2:2" x14ac:dyDescent="0.55000000000000004">
      <c r="B8" s="57" t="s">
        <v>162</v>
      </c>
    </row>
    <row r="11" spans="2:2" x14ac:dyDescent="0.55000000000000004">
      <c r="B11" s="56" t="s">
        <v>159</v>
      </c>
    </row>
    <row r="13" spans="2:2" x14ac:dyDescent="0.55000000000000004">
      <c r="B13" s="57" t="s">
        <v>163</v>
      </c>
    </row>
    <row r="14" spans="2:2" x14ac:dyDescent="0.55000000000000004">
      <c r="B14" s="57" t="s">
        <v>164</v>
      </c>
    </row>
    <row r="15" spans="2:2" x14ac:dyDescent="0.55000000000000004">
      <c r="B15" s="57" t="s">
        <v>167</v>
      </c>
    </row>
    <row r="17" spans="2:2" x14ac:dyDescent="0.55000000000000004">
      <c r="B17" s="56" t="s">
        <v>166</v>
      </c>
    </row>
    <row r="19" spans="2:2" x14ac:dyDescent="0.55000000000000004">
      <c r="B19" s="57" t="s">
        <v>165</v>
      </c>
    </row>
  </sheetData>
  <hyperlinks>
    <hyperlink ref="B6" r:id="rId1" xr:uid="{5D80DE16-4541-4D99-97FC-1CDA3161B4CC}"/>
    <hyperlink ref="B7" r:id="rId2" xr:uid="{7C42F327-D0F2-4CEF-8B1F-531A686F6EAA}"/>
    <hyperlink ref="B8" r:id="rId3" xr:uid="{AB58744A-19B5-4C6E-9443-0A8FE8825EC2}"/>
    <hyperlink ref="B14" r:id="rId4" xr:uid="{27B67A56-1C9B-4654-95A5-4D06D65E0F56}"/>
    <hyperlink ref="B13" r:id="rId5" xr:uid="{B55E05E1-B162-46C6-86EA-96C8A365AF75}"/>
    <hyperlink ref="B19" r:id="rId6" xr:uid="{0DF2BAF8-1E17-41DC-AD0B-1192872C8671}"/>
    <hyperlink ref="B15" r:id="rId7" xr:uid="{C905EE1E-318C-45AD-AFCD-1FC8E11D2CE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vt:lpstr>
      <vt:lpstr>Guide</vt:lpstr>
      <vt:lpstr>Budget Estimator</vt:lpstr>
      <vt:lpstr>Adoption Plan</vt:lpstr>
      <vt:lpstr>Examples</vt:lpstr>
      <vt:lpstr>Bonus 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M</dc:creator>
  <cp:lastModifiedBy>Christian M</cp:lastModifiedBy>
  <dcterms:created xsi:type="dcterms:W3CDTF">2026-06-17T05:32:22Z</dcterms:created>
  <dcterms:modified xsi:type="dcterms:W3CDTF">2026-06-17T15:21:17Z</dcterms:modified>
</cp:coreProperties>
</file>